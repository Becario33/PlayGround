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/>
  <mc:AlternateContent xmlns:mc="http://schemas.openxmlformats.org/markup-compatibility/2006">
    <mc:Choice Requires="x15">
      <x15ac:absPath xmlns:x15ac="http://schemas.microsoft.com/office/spreadsheetml/2010/11/ac" url="/Users/joss/Downloads/"/>
    </mc:Choice>
  </mc:AlternateContent>
  <xr:revisionPtr revIDLastSave="0" documentId="13_ncr:1_{F064CEF0-F421-1D46-8303-07336004A92E}" xr6:coauthVersionLast="47" xr6:coauthVersionMax="47" xr10:uidLastSave="{00000000-0000-0000-0000-000000000000}"/>
  <bookViews>
    <workbookView xWindow="0" yWindow="680" windowWidth="20500" windowHeight="174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1" l="1"/>
  <c r="H23" i="1"/>
  <c r="E23" i="1"/>
  <c r="D23" i="1"/>
  <c r="C23" i="1"/>
  <c r="K19" i="1"/>
  <c r="H19" i="1"/>
  <c r="E19" i="1"/>
  <c r="D19" i="1"/>
  <c r="C19" i="1"/>
  <c r="Q15" i="1"/>
  <c r="P15" i="1"/>
  <c r="K13" i="1"/>
  <c r="Q12" i="1"/>
  <c r="P12" i="1"/>
  <c r="Q11" i="1"/>
  <c r="P11" i="1"/>
  <c r="Q10" i="1"/>
  <c r="P10" i="1"/>
  <c r="Q9" i="1"/>
  <c r="P9" i="1"/>
  <c r="Q8" i="1"/>
  <c r="P8" i="1"/>
  <c r="Q7" i="1"/>
  <c r="P7" i="1"/>
  <c r="Q6" i="1"/>
  <c r="P6" i="1"/>
  <c r="Q5" i="1"/>
  <c r="P5" i="1"/>
  <c r="Q4" i="1"/>
  <c r="P4" i="1"/>
  <c r="Q3" i="1"/>
  <c r="P3" i="1"/>
</calcChain>
</file>

<file path=xl/sharedStrings.xml><?xml version="1.0" encoding="utf-8"?>
<sst xmlns="http://schemas.openxmlformats.org/spreadsheetml/2006/main" count="38" uniqueCount="31">
  <si>
    <t>Rank</t>
  </si>
  <si>
    <t>Película</t>
  </si>
  <si>
    <t>Asistencia Nacional</t>
  </si>
  <si>
    <t>Taquilla Nacional</t>
  </si>
  <si>
    <t>MS CNMX Asistencia</t>
  </si>
  <si>
    <t>MS SA CNMX Asistencia</t>
  </si>
  <si>
    <t>Dif SA</t>
  </si>
  <si>
    <t>MS CNMX Taquilla</t>
  </si>
  <si>
    <t>MS SA Cnmx Taquilla</t>
  </si>
  <si>
    <t>PPB CNMX</t>
  </si>
  <si>
    <t>PPB SA</t>
  </si>
  <si>
    <t/>
  </si>
  <si>
    <t>La Odisea</t>
  </si>
  <si>
    <t>Total</t>
  </si>
  <si>
    <t>Exclusiva Cinemex</t>
  </si>
  <si>
    <t>(Var% / Dif) Total vs 2024</t>
  </si>
  <si>
    <t>2026 YTD</t>
  </si>
  <si>
    <t>(Var% / Dif) Total vs 2026 YTD</t>
  </si>
  <si>
    <t>Var % Sem Ant</t>
  </si>
  <si>
    <t>% Ocup</t>
  </si>
  <si>
    <t>Industria</t>
  </si>
  <si>
    <t>Cinemex</t>
  </si>
  <si>
    <t>Toy Story 5</t>
  </si>
  <si>
    <t>Minions &amp; Monstruos</t>
  </si>
  <si>
    <t>Moana</t>
  </si>
  <si>
    <t>Evil Dead: En Llamas</t>
  </si>
  <si>
    <t>La Invitacion</t>
  </si>
  <si>
    <t>El Dia de la Revelacion</t>
  </si>
  <si>
    <t>Obsesion</t>
  </si>
  <si>
    <t>Supergirl</t>
  </si>
  <si>
    <t>Backrooms: Sin Salida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</si>
</sst>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0.0%"/>
    <numFmt numFmtId="167" formatCode="_-* #,##0_-;\-* #,##0_-;_-* &quot;-&quot;??_-;_-@_-"/>
    <numFmt numFmtId="168" formatCode="_-&quot;$&quot;* #,##0_-;\-&quot;$&quot;* #,##0_-;_-&quot;$&quot;* &quot;-&quot;??_-;_-@_-"/>
    <numFmt numFmtId="169" formatCode="&quot;$&quot;#,##0.00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18"/>
      <color theme="3"/>
      <name val="Calibri Light"/>
      <family val="2"/>
      <scheme val="major"/>
    </font>
    <font>
      <sz val="11"/>
      <color theme="1"/>
      <name val="Calibri"/>
      <family val="2"/>
    </font>
    <font>
      <sz val="10"/>
      <name val="Ottawa"/>
      <family val="2"/>
    </font>
    <font>
      <sz val="11"/>
      <color theme="1" tint="0.499984740745262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499984740745262"/>
      <name val="Calibri"/>
      <family val="2"/>
    </font>
    <font>
      <b/>
      <sz val="11"/>
      <color theme="1" tint="0.499984740745262"/>
      <name val="Calibri"/>
      <family val="2"/>
    </font>
    <font>
      <b/>
      <sz val="11"/>
      <color theme="1" tint="0.34998626667073579"/>
      <name val="Calibri"/>
      <family val="2"/>
    </font>
    <font>
      <sz val="11"/>
      <color theme="1" tint="0.34998626667073579"/>
      <name val="Calibri"/>
      <family val="2"/>
    </font>
    <font>
      <sz val="14"/>
      <color theme="1" tint="0.499984740745262"/>
      <name val="Calibri"/>
      <family val="2"/>
    </font>
    <font>
      <sz val="14"/>
      <color theme="1"/>
      <name val="Calibri"/>
      <family val="2"/>
    </font>
    <font>
      <sz val="14"/>
      <color theme="1" tint="0.34998626667073579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</borders>
  <cellStyleXfs count="13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0"/>
    <xf numFmtId="0" fontId="19" fillId="0" borderId="0"/>
    <xf numFmtId="165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19" fillId="8" borderId="8" applyNumberFormat="0" applyFont="0" applyAlignment="0" applyProtection="0"/>
    <xf numFmtId="9" fontId="19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19" fillId="0" borderId="0"/>
    <xf numFmtId="9" fontId="1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0" fontId="19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0" fontId="22" fillId="0" borderId="0"/>
    <xf numFmtId="0" fontId="19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65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9" fillId="0" borderId="0"/>
    <xf numFmtId="0" fontId="19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22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5" fontId="19" fillId="0" borderId="0" applyFont="0" applyFill="0" applyBorder="0" applyAlignment="0" applyProtection="0"/>
    <xf numFmtId="0" fontId="6" fillId="3" borderId="0" applyNumberFormat="0" applyBorder="0" applyAlignment="0" applyProtection="0"/>
    <xf numFmtId="164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18" fillId="0" borderId="0"/>
    <xf numFmtId="9" fontId="1" fillId="0" borderId="0" applyFont="0" applyFill="0" applyBorder="0" applyAlignment="0" applyProtection="0"/>
    <xf numFmtId="0" fontId="18" fillId="0" borderId="0"/>
    <xf numFmtId="164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0" borderId="0"/>
    <xf numFmtId="165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9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9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18" fillId="0" borderId="0"/>
    <xf numFmtId="9" fontId="1" fillId="0" borderId="0" applyFont="0" applyFill="0" applyBorder="0" applyAlignment="0" applyProtection="0"/>
    <xf numFmtId="0" fontId="18" fillId="0" borderId="0"/>
    <xf numFmtId="164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0"/>
    <xf numFmtId="0" fontId="19" fillId="0" borderId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5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0" fontId="19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165" fontId="1" fillId="0" borderId="0" applyFont="0" applyFill="0" applyBorder="0" applyAlignment="0" applyProtection="0"/>
    <xf numFmtId="0" fontId="18" fillId="0" borderId="0"/>
    <xf numFmtId="164" fontId="1" fillId="0" borderId="0" applyFont="0" applyFill="0" applyBorder="0" applyAlignment="0" applyProtection="0"/>
    <xf numFmtId="0" fontId="1" fillId="0" borderId="0"/>
    <xf numFmtId="0" fontId="18" fillId="0" borderId="0"/>
    <xf numFmtId="0" fontId="19" fillId="0" borderId="0"/>
    <xf numFmtId="165" fontId="1" fillId="0" borderId="0" applyFont="0" applyFill="0" applyBorder="0" applyAlignment="0" applyProtection="0"/>
    <xf numFmtId="0" fontId="18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8" fillId="0" borderId="0"/>
    <xf numFmtId="0" fontId="19" fillId="0" borderId="0"/>
    <xf numFmtId="0" fontId="18" fillId="0" borderId="0"/>
    <xf numFmtId="165" fontId="19" fillId="0" borderId="0" applyFont="0" applyFill="0" applyBorder="0" applyAlignment="0" applyProtection="0"/>
    <xf numFmtId="0" fontId="18" fillId="0" borderId="0"/>
    <xf numFmtId="0" fontId="19" fillId="0" borderId="0"/>
    <xf numFmtId="0" fontId="18" fillId="0" borderId="0"/>
    <xf numFmtId="0" fontId="19" fillId="0" borderId="0"/>
    <xf numFmtId="0" fontId="18" fillId="0" borderId="0"/>
    <xf numFmtId="164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165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165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8" fillId="0" borderId="0"/>
    <xf numFmtId="0" fontId="18" fillId="0" borderId="0"/>
    <xf numFmtId="165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5" fontId="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18" fillId="0" borderId="0"/>
    <xf numFmtId="0" fontId="18" fillId="0" borderId="0"/>
    <xf numFmtId="165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65" fontId="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9" fillId="0" borderId="0"/>
    <xf numFmtId="0" fontId="18" fillId="0" borderId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18" fillId="0" borderId="0"/>
    <xf numFmtId="0" fontId="18" fillId="0" borderId="0"/>
    <xf numFmtId="165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18" fillId="0" borderId="0"/>
    <xf numFmtId="0" fontId="18" fillId="0" borderId="0"/>
    <xf numFmtId="165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8" fillId="0" borderId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8" fillId="0" borderId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4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8" fillId="0" borderId="0"/>
    <xf numFmtId="165" fontId="18" fillId="0" borderId="0" applyFont="0" applyFill="0" applyBorder="0" applyAlignment="0" applyProtection="0"/>
    <xf numFmtId="164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16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19" fillId="8" borderId="8" applyNumberFormat="0" applyFont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" fillId="0" borderId="0"/>
    <xf numFmtId="165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18" fillId="0" borderId="0"/>
    <xf numFmtId="9" fontId="1" fillId="0" borderId="0" applyFont="0" applyFill="0" applyBorder="0" applyAlignment="0" applyProtection="0"/>
    <xf numFmtId="0" fontId="18" fillId="0" borderId="0"/>
    <xf numFmtId="164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5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165" fontId="1" fillId="0" borderId="0" applyFont="0" applyFill="0" applyBorder="0" applyAlignment="0" applyProtection="0"/>
    <xf numFmtId="0" fontId="18" fillId="0" borderId="0"/>
    <xf numFmtId="164" fontId="1" fillId="0" borderId="0" applyFont="0" applyFill="0" applyBorder="0" applyAlignment="0" applyProtection="0"/>
    <xf numFmtId="0" fontId="1" fillId="0" borderId="0"/>
    <xf numFmtId="0" fontId="18" fillId="0" borderId="0"/>
    <xf numFmtId="165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8" fillId="0" borderId="0"/>
    <xf numFmtId="0" fontId="18" fillId="0" borderId="0"/>
    <xf numFmtId="165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165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165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8" fillId="0" borderId="0"/>
    <xf numFmtId="0" fontId="18" fillId="0" borderId="0"/>
    <xf numFmtId="165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18" fillId="0" borderId="0"/>
    <xf numFmtId="0" fontId="18" fillId="0" borderId="0"/>
    <xf numFmtId="165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18" fillId="0" borderId="0"/>
    <xf numFmtId="0" fontId="18" fillId="0" borderId="0"/>
    <xf numFmtId="165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0" borderId="0"/>
    <xf numFmtId="0" fontId="19" fillId="0" borderId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26" fillId="33" borderId="0" xfId="185" applyFont="1" applyFill="1" applyAlignment="1">
      <alignment horizontal="center" vertical="center"/>
    </xf>
    <xf numFmtId="0" fontId="26" fillId="33" borderId="0" xfId="185" applyFont="1" applyFill="1" applyAlignment="1">
      <alignment vertical="center"/>
    </xf>
    <xf numFmtId="0" fontId="26" fillId="33" borderId="0" xfId="185" applyFont="1" applyFill="1" applyAlignment="1">
      <alignment horizontal="center" vertical="center" wrapText="1"/>
    </xf>
    <xf numFmtId="0" fontId="23" fillId="0" borderId="0" xfId="185" applyFont="1" applyAlignment="1">
      <alignment vertical="center"/>
    </xf>
    <xf numFmtId="0" fontId="27" fillId="0" borderId="0" xfId="722" applyFont="1" applyAlignment="1">
      <alignment vertical="center"/>
    </xf>
    <xf numFmtId="0" fontId="27" fillId="0" borderId="0" xfId="722" applyFont="1" applyAlignment="1">
      <alignment horizontal="center" vertical="center"/>
    </xf>
    <xf numFmtId="0" fontId="28" fillId="0" borderId="0" xfId="722" applyFont="1" applyAlignment="1">
      <alignment horizontal="center" vertical="center"/>
    </xf>
    <xf numFmtId="0" fontId="29" fillId="33" borderId="0" xfId="722" applyFont="1" applyFill="1" applyAlignment="1">
      <alignment horizontal="center" vertical="center" wrapText="1"/>
    </xf>
    <xf numFmtId="0" fontId="24" fillId="0" borderId="10" xfId="185" applyFont="1" applyBorder="1" applyAlignment="1">
      <alignment horizontal="center" vertical="center"/>
    </xf>
    <xf numFmtId="0" fontId="24" fillId="0" borderId="10" xfId="185" applyFont="1" applyBorder="1" applyAlignment="1">
      <alignment vertical="center"/>
    </xf>
    <xf numFmtId="167" fontId="24" fillId="0" borderId="10" xfId="62" applyNumberFormat="1" applyFont="1" applyFill="1" applyBorder="1" applyAlignment="1">
      <alignment horizontal="center" vertical="center"/>
    </xf>
    <xf numFmtId="168" fontId="24" fillId="0" borderId="10" xfId="120" applyNumberFormat="1" applyFont="1" applyFill="1" applyBorder="1" applyAlignment="1">
      <alignment horizontal="center" vertical="center"/>
    </xf>
    <xf numFmtId="166" fontId="24" fillId="0" borderId="10" xfId="185" applyNumberFormat="1" applyFont="1" applyBorder="1" applyAlignment="1">
      <alignment horizontal="center" vertical="center"/>
    </xf>
    <xf numFmtId="166" fontId="26" fillId="0" borderId="10" xfId="88" applyNumberFormat="1" applyFont="1" applyFill="1" applyBorder="1" applyAlignment="1">
      <alignment horizontal="center" vertical="center"/>
    </xf>
    <xf numFmtId="169" fontId="24" fillId="0" borderId="10" xfId="185" applyNumberFormat="1" applyFont="1" applyBorder="1" applyAlignment="1">
      <alignment horizontal="center" vertical="center"/>
    </xf>
    <xf numFmtId="169" fontId="26" fillId="0" borderId="10" xfId="88" applyNumberFormat="1" applyFont="1" applyFill="1" applyBorder="1" applyAlignment="1">
      <alignment horizontal="center" vertical="center"/>
    </xf>
    <xf numFmtId="166" fontId="30" fillId="0" borderId="10" xfId="737" applyNumberFormat="1" applyFont="1" applyBorder="1" applyAlignment="1">
      <alignment horizontal="center" vertical="center"/>
    </xf>
    <xf numFmtId="0" fontId="23" fillId="0" borderId="10" xfId="185" applyFont="1" applyBorder="1" applyAlignment="1">
      <alignment horizontal="center" vertical="center"/>
    </xf>
    <xf numFmtId="0" fontId="23" fillId="0" borderId="10" xfId="185" applyFont="1" applyBorder="1" applyAlignment="1">
      <alignment vertical="center"/>
    </xf>
    <xf numFmtId="167" fontId="23" fillId="0" borderId="10" xfId="62" applyNumberFormat="1" applyFont="1" applyFill="1" applyBorder="1" applyAlignment="1">
      <alignment horizontal="center" vertical="center"/>
    </xf>
    <xf numFmtId="168" fontId="23" fillId="0" borderId="10" xfId="120" applyNumberFormat="1" applyFont="1" applyFill="1" applyBorder="1" applyAlignment="1">
      <alignment horizontal="center" vertical="center"/>
    </xf>
    <xf numFmtId="166" fontId="23" fillId="0" borderId="10" xfId="185" applyNumberFormat="1" applyFont="1" applyBorder="1" applyAlignment="1">
      <alignment horizontal="center" vertical="center"/>
    </xf>
    <xf numFmtId="166" fontId="25" fillId="0" borderId="10" xfId="88" applyNumberFormat="1" applyFont="1" applyBorder="1" applyAlignment="1">
      <alignment horizontal="center" vertical="center"/>
    </xf>
    <xf numFmtId="169" fontId="23" fillId="0" borderId="10" xfId="185" applyNumberFormat="1" applyFont="1" applyBorder="1" applyAlignment="1">
      <alignment horizontal="center" vertical="center"/>
    </xf>
    <xf numFmtId="169" fontId="25" fillId="0" borderId="10" xfId="88" applyNumberFormat="1" applyFont="1" applyBorder="1" applyAlignment="1">
      <alignment horizontal="center" vertical="center"/>
    </xf>
    <xf numFmtId="166" fontId="25" fillId="0" borderId="10" xfId="88" applyNumberFormat="1" applyFont="1" applyFill="1" applyBorder="1" applyAlignment="1">
      <alignment horizontal="center" vertical="center"/>
    </xf>
    <xf numFmtId="169" fontId="25" fillId="0" borderId="10" xfId="88" applyNumberFormat="1" applyFont="1" applyFill="1" applyBorder="1" applyAlignment="1">
      <alignment horizontal="center" vertical="center"/>
    </xf>
    <xf numFmtId="0" fontId="28" fillId="34" borderId="10" xfId="722" applyFont="1" applyFill="1" applyBorder="1" applyAlignment="1">
      <alignment horizontal="center" vertical="center"/>
    </xf>
    <xf numFmtId="0" fontId="28" fillId="34" borderId="10" xfId="722" applyFont="1" applyFill="1" applyBorder="1" applyAlignment="1">
      <alignment horizontal="left" vertical="center"/>
    </xf>
    <xf numFmtId="167" fontId="28" fillId="34" borderId="10" xfId="62" applyNumberFormat="1" applyFont="1" applyFill="1" applyBorder="1" applyAlignment="1">
      <alignment horizontal="center" vertical="center"/>
    </xf>
    <xf numFmtId="168" fontId="28" fillId="34" borderId="10" xfId="120" applyNumberFormat="1" applyFont="1" applyFill="1" applyBorder="1" applyAlignment="1">
      <alignment horizontal="center" vertical="center"/>
    </xf>
    <xf numFmtId="166" fontId="28" fillId="34" borderId="10" xfId="722" applyNumberFormat="1" applyFont="1" applyFill="1" applyBorder="1" applyAlignment="1">
      <alignment horizontal="center" vertical="center"/>
    </xf>
    <xf numFmtId="166" fontId="29" fillId="34" borderId="10" xfId="88" applyNumberFormat="1" applyFont="1" applyFill="1" applyBorder="1" applyAlignment="1">
      <alignment horizontal="center" vertical="center"/>
    </xf>
    <xf numFmtId="169" fontId="28" fillId="34" borderId="10" xfId="722" applyNumberFormat="1" applyFont="1" applyFill="1" applyBorder="1" applyAlignment="1">
      <alignment horizontal="center" vertical="center"/>
    </xf>
    <xf numFmtId="166" fontId="29" fillId="34" borderId="10" xfId="737" applyNumberFormat="1" applyFont="1" applyFill="1" applyBorder="1" applyAlignment="1">
      <alignment horizontal="center" vertical="center"/>
    </xf>
    <xf numFmtId="0" fontId="23" fillId="0" borderId="0" xfId="722" applyFont="1" applyAlignment="1">
      <alignment horizontal="center" vertical="center"/>
    </xf>
    <xf numFmtId="0" fontId="23" fillId="0" borderId="0" xfId="722" applyFont="1" applyAlignment="1">
      <alignment vertical="center"/>
    </xf>
    <xf numFmtId="167" fontId="23" fillId="0" borderId="0" xfId="62" applyNumberFormat="1" applyFont="1" applyFill="1" applyBorder="1" applyAlignment="1">
      <alignment horizontal="center" vertical="center"/>
    </xf>
    <xf numFmtId="168" fontId="23" fillId="0" borderId="0" xfId="120" applyNumberFormat="1" applyFont="1" applyFill="1" applyBorder="1" applyAlignment="1">
      <alignment horizontal="center" vertical="center"/>
    </xf>
    <xf numFmtId="166" fontId="23" fillId="0" borderId="0" xfId="722" applyNumberFormat="1" applyFont="1" applyAlignment="1">
      <alignment horizontal="center" vertical="center"/>
    </xf>
    <xf numFmtId="166" fontId="25" fillId="0" borderId="0" xfId="88" applyNumberFormat="1" applyFont="1" applyFill="1" applyBorder="1" applyAlignment="1">
      <alignment horizontal="center" vertical="center"/>
    </xf>
    <xf numFmtId="169" fontId="23" fillId="0" borderId="0" xfId="722" applyNumberFormat="1" applyFont="1" applyAlignment="1">
      <alignment horizontal="center" vertical="center"/>
    </xf>
    <xf numFmtId="169" fontId="25" fillId="0" borderId="0" xfId="88" applyNumberFormat="1" applyFont="1" applyFill="1" applyBorder="1" applyAlignment="1">
      <alignment horizontal="center" vertical="center"/>
    </xf>
    <xf numFmtId="169" fontId="30" fillId="0" borderId="0" xfId="88" applyNumberFormat="1" applyFont="1" applyBorder="1" applyAlignment="1">
      <alignment horizontal="center" vertical="center"/>
    </xf>
    <xf numFmtId="167" fontId="26" fillId="33" borderId="0" xfId="62" applyNumberFormat="1" applyFont="1" applyFill="1" applyBorder="1" applyAlignment="1">
      <alignment horizontal="center" vertical="center"/>
    </xf>
    <xf numFmtId="168" fontId="26" fillId="33" borderId="0" xfId="120" applyNumberFormat="1" applyFont="1" applyFill="1" applyBorder="1" applyAlignment="1">
      <alignment horizontal="center" vertical="center"/>
    </xf>
    <xf numFmtId="166" fontId="26" fillId="33" borderId="0" xfId="185" applyNumberFormat="1" applyFont="1" applyFill="1" applyAlignment="1">
      <alignment horizontal="center" vertical="center"/>
    </xf>
    <xf numFmtId="166" fontId="26" fillId="33" borderId="0" xfId="88" applyNumberFormat="1" applyFont="1" applyFill="1" applyBorder="1" applyAlignment="1">
      <alignment horizontal="center" vertical="center"/>
    </xf>
    <xf numFmtId="169" fontId="26" fillId="33" borderId="0" xfId="185" applyNumberFormat="1" applyFont="1" applyFill="1" applyAlignment="1">
      <alignment horizontal="center" vertical="center"/>
    </xf>
    <xf numFmtId="169" fontId="26" fillId="33" borderId="0" xfId="88" applyNumberFormat="1" applyFont="1" applyFill="1" applyBorder="1" applyAlignment="1">
      <alignment horizontal="center" vertical="center"/>
    </xf>
    <xf numFmtId="166" fontId="29" fillId="33" borderId="0" xfId="737" applyNumberFormat="1" applyFont="1" applyFill="1" applyBorder="1" applyAlignment="1">
      <alignment horizontal="center" vertical="center"/>
    </xf>
    <xf numFmtId="0" fontId="31" fillId="0" borderId="0" xfId="722" applyFont="1" applyAlignment="1">
      <alignment horizontal="center" vertical="center"/>
    </xf>
    <xf numFmtId="0" fontId="32" fillId="0" borderId="0" xfId="722" applyFont="1" applyAlignment="1">
      <alignment horizontal="center" vertical="center"/>
    </xf>
    <xf numFmtId="0" fontId="29" fillId="33" borderId="0" xfId="722" applyFont="1" applyFill="1" applyAlignment="1">
      <alignment horizontal="center" vertical="center"/>
    </xf>
    <xf numFmtId="0" fontId="29" fillId="33" borderId="0" xfId="722" applyFont="1" applyFill="1" applyAlignment="1">
      <alignment horizontal="left" vertical="center"/>
    </xf>
    <xf numFmtId="167" fontId="29" fillId="33" borderId="0" xfId="62" applyNumberFormat="1" applyFont="1" applyFill="1" applyBorder="1" applyAlignment="1">
      <alignment horizontal="center" vertical="center"/>
    </xf>
    <xf numFmtId="168" fontId="29" fillId="33" borderId="0" xfId="120" applyNumberFormat="1" applyFont="1" applyFill="1" applyBorder="1" applyAlignment="1">
      <alignment horizontal="center" vertical="center"/>
    </xf>
    <xf numFmtId="166" fontId="29" fillId="33" borderId="0" xfId="722" applyNumberFormat="1" applyFont="1" applyFill="1" applyAlignment="1">
      <alignment horizontal="center" vertical="center"/>
    </xf>
    <xf numFmtId="166" fontId="29" fillId="33" borderId="0" xfId="88" applyNumberFormat="1" applyFont="1" applyFill="1" applyBorder="1" applyAlignment="1">
      <alignment horizontal="center" vertical="center"/>
    </xf>
    <xf numFmtId="169" fontId="29" fillId="33" borderId="0" xfId="722" applyNumberFormat="1" applyFont="1" applyFill="1" applyAlignment="1">
      <alignment horizontal="center" vertical="center"/>
    </xf>
    <xf numFmtId="169" fontId="29" fillId="33" borderId="0" xfId="88" applyNumberFormat="1" applyFont="1" applyFill="1" applyBorder="1" applyAlignment="1">
      <alignment horizontal="center" vertical="center"/>
    </xf>
    <xf numFmtId="0" fontId="21" fillId="0" borderId="0" xfId="722" applyFont="1" applyAlignment="1">
      <alignment vertical="center"/>
    </xf>
    <xf numFmtId="0" fontId="21" fillId="0" borderId="0" xfId="722" applyFont="1" applyAlignment="1">
      <alignment horizontal="center" vertical="center"/>
    </xf>
    <xf numFmtId="0" fontId="29" fillId="33" borderId="0" xfId="722" applyFont="1" applyFill="1" applyAlignment="1">
      <alignment vertical="center"/>
    </xf>
    <xf numFmtId="166" fontId="29" fillId="33" borderId="0" xfId="141" applyNumberFormat="1" applyFont="1" applyFill="1" applyBorder="1" applyAlignment="1">
      <alignment horizontal="right" vertical="center"/>
    </xf>
    <xf numFmtId="166" fontId="29" fillId="33" borderId="0" xfId="141" applyNumberFormat="1" applyFont="1" applyFill="1" applyBorder="1" applyAlignment="1">
      <alignment horizontal="center" vertical="center"/>
    </xf>
    <xf numFmtId="169" fontId="29" fillId="33" borderId="0" xfId="141" applyNumberFormat="1" applyFont="1" applyFill="1" applyBorder="1" applyAlignment="1">
      <alignment horizontal="center" vertical="center"/>
    </xf>
    <xf numFmtId="0" fontId="31" fillId="0" borderId="0" xfId="722" applyFont="1" applyAlignment="1">
      <alignment vertical="center"/>
    </xf>
    <xf numFmtId="167" fontId="31" fillId="0" borderId="0" xfId="62" applyNumberFormat="1" applyFont="1" applyFill="1" applyBorder="1" applyAlignment="1">
      <alignment horizontal="center" vertical="center"/>
    </xf>
    <xf numFmtId="168" fontId="31" fillId="0" borderId="0" xfId="120" applyNumberFormat="1" applyFont="1" applyFill="1" applyBorder="1" applyAlignment="1">
      <alignment horizontal="center" vertical="center"/>
    </xf>
    <xf numFmtId="166" fontId="31" fillId="0" borderId="0" xfId="722" applyNumberFormat="1" applyFont="1" applyAlignment="1">
      <alignment horizontal="center" vertical="center"/>
    </xf>
    <xf numFmtId="166" fontId="33" fillId="0" borderId="0" xfId="141" applyNumberFormat="1" applyFont="1" applyBorder="1" applyAlignment="1">
      <alignment horizontal="center" vertical="center"/>
    </xf>
    <xf numFmtId="169" fontId="31" fillId="0" borderId="0" xfId="722" applyNumberFormat="1" applyFont="1" applyAlignment="1">
      <alignment horizontal="center" vertical="center"/>
    </xf>
    <xf numFmtId="169" fontId="33" fillId="0" borderId="0" xfId="141" applyNumberFormat="1" applyFont="1" applyBorder="1" applyAlignment="1">
      <alignment horizontal="center" vertical="center"/>
    </xf>
    <xf numFmtId="169" fontId="33" fillId="0" borderId="0" xfId="88" applyNumberFormat="1" applyFont="1" applyBorder="1" applyAlignment="1">
      <alignment horizontal="center" vertical="center"/>
    </xf>
  </cellXfs>
  <cellStyles count="1337">
    <cellStyle name="20% - Accent1" xfId="17" builtinId="30" customBuiltin="1"/>
    <cellStyle name="20% - Accent2" xfId="21" builtinId="34" customBuiltin="1"/>
    <cellStyle name="20% - Accent3" xfId="25" builtinId="38" customBuiltin="1"/>
    <cellStyle name="20% - Accent4" xfId="29" builtinId="42" customBuiltin="1"/>
    <cellStyle name="20% - Accent5" xfId="33" builtinId="46" customBuiltin="1"/>
    <cellStyle name="20% - Accent6" xfId="37" builtinId="50" customBuiltin="1"/>
    <cellStyle name="20% - Énfasis1 2" xfId="793" xr:uid="{00000000-0005-0000-0000-000001000000}"/>
    <cellStyle name="20% - Énfasis2 2" xfId="795" xr:uid="{00000000-0005-0000-0000-000003000000}"/>
    <cellStyle name="20% - Énfasis3 2" xfId="797" xr:uid="{00000000-0005-0000-0000-000005000000}"/>
    <cellStyle name="20% - Énfasis4 2" xfId="799" xr:uid="{00000000-0005-0000-0000-000007000000}"/>
    <cellStyle name="20% - Énfasis5 2" xfId="801" xr:uid="{00000000-0005-0000-0000-000009000000}"/>
    <cellStyle name="20% - Énfasis6 2" xfId="803" xr:uid="{00000000-0005-0000-0000-00000B000000}"/>
    <cellStyle name="40% - Accent1" xfId="18" builtinId="31" customBuiltin="1"/>
    <cellStyle name="40% - Accent2" xfId="22" builtinId="35" customBuiltin="1"/>
    <cellStyle name="40% - Accent3" xfId="26" builtinId="39" customBuiltin="1"/>
    <cellStyle name="40% - Accent4" xfId="30" builtinId="43" customBuiltin="1"/>
    <cellStyle name="40% - Accent5" xfId="34" builtinId="47" customBuiltin="1"/>
    <cellStyle name="40% - Accent6" xfId="38" builtinId="51" customBuiltin="1"/>
    <cellStyle name="40% - Énfasis1 2" xfId="794" xr:uid="{00000000-0005-0000-0000-00000D000000}"/>
    <cellStyle name="40% - Énfasis2 2" xfId="796" xr:uid="{00000000-0005-0000-0000-00000F000000}"/>
    <cellStyle name="40% - Énfasis3 2" xfId="798" xr:uid="{00000000-0005-0000-0000-000011000000}"/>
    <cellStyle name="40% - Énfasis4 2" xfId="800" xr:uid="{00000000-0005-0000-0000-000013000000}"/>
    <cellStyle name="40% - Énfasis5 2" xfId="802" xr:uid="{00000000-0005-0000-0000-000015000000}"/>
    <cellStyle name="40% - Énfasis6 2" xfId="804" xr:uid="{00000000-0005-0000-0000-000017000000}"/>
    <cellStyle name="60% - Accent1" xfId="19" builtinId="32" customBuiltin="1"/>
    <cellStyle name="60% - Accent2" xfId="23" builtinId="36" customBuiltin="1"/>
    <cellStyle name="60% - Accent3" xfId="27" builtinId="40" customBuiltin="1"/>
    <cellStyle name="60% - Accent4" xfId="31" builtinId="44" customBuiltin="1"/>
    <cellStyle name="60% - Accent5" xfId="35" builtinId="48" customBuiltin="1"/>
    <cellStyle name="60% - Accent6" xfId="39" builtinId="52" customBuiltin="1"/>
    <cellStyle name="Accent1" xfId="16" builtinId="29" customBuiltin="1"/>
    <cellStyle name="Accent2" xfId="20" builtinId="33" customBuiltin="1"/>
    <cellStyle name="Accent3" xfId="24" builtinId="37" customBuiltin="1"/>
    <cellStyle name="Accent4" xfId="28" builtinId="41" customBuiltin="1"/>
    <cellStyle name="Accent5" xfId="32" builtinId="45" customBuiltin="1"/>
    <cellStyle name="Accent6" xfId="36" builtinId="49" customBuiltin="1"/>
    <cellStyle name="Bad" xfId="6" builtinId="27" customBuiltin="1"/>
    <cellStyle name="Bad 2" xfId="139" xr:uid="{00000000-0005-0000-0000-00001E000000}"/>
    <cellStyle name="Calculation" xfId="10" builtinId="22" customBuiltin="1"/>
    <cellStyle name="Check Cell" xfId="12" builtinId="23" customBuiltin="1"/>
    <cellStyle name="Comma 10" xfId="245" xr:uid="{00000000-0005-0000-0000-000023000000}"/>
    <cellStyle name="Comma 10 2" xfId="440" xr:uid="{00000000-0005-0000-0000-000024000000}"/>
    <cellStyle name="Comma 10 2 2" xfId="1084" xr:uid="{00000000-0005-0000-0000-000025000000}"/>
    <cellStyle name="Comma 10 3" xfId="397" xr:uid="{00000000-0005-0000-0000-000026000000}"/>
    <cellStyle name="Comma 10 3 2" xfId="1042" xr:uid="{00000000-0005-0000-0000-000027000000}"/>
    <cellStyle name="Comma 10 4" xfId="547" xr:uid="{00000000-0005-0000-0000-000028000000}"/>
    <cellStyle name="Comma 10 4 2" xfId="1175" xr:uid="{00000000-0005-0000-0000-000029000000}"/>
    <cellStyle name="Comma 10 5" xfId="616" xr:uid="{00000000-0005-0000-0000-00002A000000}"/>
    <cellStyle name="Comma 10 5 2" xfId="1232" xr:uid="{00000000-0005-0000-0000-00002B000000}"/>
    <cellStyle name="Comma 10 6" xfId="674" xr:uid="{00000000-0005-0000-0000-00002C000000}"/>
    <cellStyle name="Comma 10 6 2" xfId="1275" xr:uid="{00000000-0005-0000-0000-00002D000000}"/>
    <cellStyle name="Comma 10 7" xfId="911" xr:uid="{00000000-0005-0000-0000-00002E000000}"/>
    <cellStyle name="Comma 11" xfId="198" xr:uid="{00000000-0005-0000-0000-00002F000000}"/>
    <cellStyle name="Comma 11 2" xfId="407" xr:uid="{00000000-0005-0000-0000-000030000000}"/>
    <cellStyle name="Comma 11 2 2" xfId="578" xr:uid="{00000000-0005-0000-0000-000031000000}"/>
    <cellStyle name="Comma 11 2 2 2" xfId="1195" xr:uid="{00000000-0005-0000-0000-000032000000}"/>
    <cellStyle name="Comma 11 2 3" xfId="637" xr:uid="{00000000-0005-0000-0000-000033000000}"/>
    <cellStyle name="Comma 11 2 3 2" xfId="1251" xr:uid="{00000000-0005-0000-0000-000034000000}"/>
    <cellStyle name="Comma 11 2 4" xfId="695" xr:uid="{00000000-0005-0000-0000-000035000000}"/>
    <cellStyle name="Comma 11 2 4 2" xfId="1290" xr:uid="{00000000-0005-0000-0000-000036000000}"/>
    <cellStyle name="Comma 11 2 5" xfId="1051" xr:uid="{00000000-0005-0000-0000-000037000000}"/>
    <cellStyle name="Comma 11 3" xfId="576" xr:uid="{00000000-0005-0000-0000-000038000000}"/>
    <cellStyle name="Comma 11 3 2" xfId="1193" xr:uid="{00000000-0005-0000-0000-000039000000}"/>
    <cellStyle name="Comma 11 4" xfId="635" xr:uid="{00000000-0005-0000-0000-00003A000000}"/>
    <cellStyle name="Comma 11 4 2" xfId="707" xr:uid="{00000000-0005-0000-0000-00003B000000}"/>
    <cellStyle name="Comma 11 4 2 2" xfId="1295" xr:uid="{00000000-0005-0000-0000-00003C000000}"/>
    <cellStyle name="Comma 11 4 3" xfId="1250" xr:uid="{00000000-0005-0000-0000-00003D000000}"/>
    <cellStyle name="Comma 11 4 4" xfId="775" xr:uid="{00000000-0005-0000-0000-00003E000000}"/>
    <cellStyle name="Comma 11 5" xfId="693" xr:uid="{00000000-0005-0000-0000-00003F000000}"/>
    <cellStyle name="Comma 11 5 2" xfId="1289" xr:uid="{00000000-0005-0000-0000-000040000000}"/>
    <cellStyle name="Comma 11 5 3" xfId="770" xr:uid="{00000000-0005-0000-0000-000041000000}"/>
    <cellStyle name="Comma 11 6" xfId="772" xr:uid="{00000000-0005-0000-0000-000042000000}"/>
    <cellStyle name="Comma 11 7" xfId="868" xr:uid="{00000000-0005-0000-0000-000043000000}"/>
    <cellStyle name="Comma 11 8" xfId="786" xr:uid="{00000000-0005-0000-0000-000044000000}"/>
    <cellStyle name="Comma 12" xfId="480" xr:uid="{00000000-0005-0000-0000-000045000000}"/>
    <cellStyle name="Comma 12 2" xfId="487" xr:uid="{00000000-0005-0000-0000-000046000000}"/>
    <cellStyle name="Comma 12 2 2" xfId="706" xr:uid="{00000000-0005-0000-0000-000047000000}"/>
    <cellStyle name="Comma 12 2 2 2" xfId="1294" xr:uid="{00000000-0005-0000-0000-000048000000}"/>
    <cellStyle name="Comma 12 2 3" xfId="1118" xr:uid="{00000000-0005-0000-0000-000049000000}"/>
    <cellStyle name="Comma 12 3" xfId="703" xr:uid="{00000000-0005-0000-0000-00004A000000}"/>
    <cellStyle name="Comma 12 3 2" xfId="1293" xr:uid="{00000000-0005-0000-0000-00004B000000}"/>
    <cellStyle name="Comma 12 4" xfId="1111" xr:uid="{00000000-0005-0000-0000-00004C000000}"/>
    <cellStyle name="Comma 13" xfId="278" xr:uid="{00000000-0005-0000-0000-00004D000000}"/>
    <cellStyle name="Comma 13 2" xfId="935" xr:uid="{00000000-0005-0000-0000-00004E000000}"/>
    <cellStyle name="Comma 14" xfId="515" xr:uid="{00000000-0005-0000-0000-00004F000000}"/>
    <cellStyle name="Comma 14 2" xfId="1143" xr:uid="{00000000-0005-0000-0000-000050000000}"/>
    <cellStyle name="Comma 15" xfId="584" xr:uid="{00000000-0005-0000-0000-000051000000}"/>
    <cellStyle name="Comma 15 2" xfId="1200" xr:uid="{00000000-0005-0000-0000-000052000000}"/>
    <cellStyle name="Comma 16" xfId="642" xr:uid="{00000000-0005-0000-0000-000053000000}"/>
    <cellStyle name="Comma 16 2" xfId="1255" xr:uid="{00000000-0005-0000-0000-000054000000}"/>
    <cellStyle name="Comma 17" xfId="711" xr:uid="{00000000-0005-0000-0000-000055000000}"/>
    <cellStyle name="Comma 17 2" xfId="1297" xr:uid="{00000000-0005-0000-0000-000056000000}"/>
    <cellStyle name="Comma 18" xfId="716" xr:uid="{00000000-0005-0000-0000-000057000000}"/>
    <cellStyle name="Comma 18 2" xfId="807" xr:uid="{00000000-0005-0000-0000-000058000000}"/>
    <cellStyle name="Comma 19" xfId="728" xr:uid="{00000000-0005-0000-0000-000059000000}"/>
    <cellStyle name="Comma 2" xfId="57" xr:uid="{00000000-0005-0000-0000-00005A000000}"/>
    <cellStyle name="Comma 2 10" xfId="374" xr:uid="{00000000-0005-0000-0000-00005B000000}"/>
    <cellStyle name="Comma 2 10 2" xfId="582" xr:uid="{00000000-0005-0000-0000-00005C000000}"/>
    <cellStyle name="Comma 2 10 2 2" xfId="1198" xr:uid="{00000000-0005-0000-0000-00005D000000}"/>
    <cellStyle name="Comma 2 10 3" xfId="699" xr:uid="{00000000-0005-0000-0000-00005E000000}"/>
    <cellStyle name="Comma 2 10 3 2" xfId="1291" xr:uid="{00000000-0005-0000-0000-00005F000000}"/>
    <cellStyle name="Comma 2 10 4" xfId="1024" xr:uid="{00000000-0005-0000-0000-000060000000}"/>
    <cellStyle name="Comma 2 10 5" xfId="787" xr:uid="{00000000-0005-0000-0000-000061000000}"/>
    <cellStyle name="Comma 2 11" xfId="585" xr:uid="{00000000-0005-0000-0000-000062000000}"/>
    <cellStyle name="Comma 2 11 2" xfId="1201" xr:uid="{00000000-0005-0000-0000-000063000000}"/>
    <cellStyle name="Comma 2 12" xfId="514" xr:uid="{00000000-0005-0000-0000-000064000000}"/>
    <cellStyle name="Comma 2 12 2" xfId="1142" xr:uid="{00000000-0005-0000-0000-000065000000}"/>
    <cellStyle name="Comma 2 13" xfId="643" xr:uid="{00000000-0005-0000-0000-000066000000}"/>
    <cellStyle name="Comma 2 13 2" xfId="1256" xr:uid="{00000000-0005-0000-0000-000067000000}"/>
    <cellStyle name="Comma 2 14" xfId="752" xr:uid="{00000000-0005-0000-0000-000068000000}"/>
    <cellStyle name="Comma 2 14 2" xfId="812" xr:uid="{00000000-0005-0000-0000-000069000000}"/>
    <cellStyle name="Comma 2 15" xfId="758" xr:uid="{00000000-0005-0000-0000-00006A000000}"/>
    <cellStyle name="Comma 2 16" xfId="779" xr:uid="{00000000-0005-0000-0000-00006B000000}"/>
    <cellStyle name="Comma 2 17" xfId="1324" xr:uid="{00000000-0005-0000-0000-00006C000000}"/>
    <cellStyle name="Comma 2 18" xfId="1329" xr:uid="{00000000-0005-0000-0000-00006D000000}"/>
    <cellStyle name="Comma 2 19" xfId="1334" xr:uid="{00000000-0005-0000-0000-00006E000000}"/>
    <cellStyle name="Comma 2 2" xfId="58" xr:uid="{00000000-0005-0000-0000-00006F000000}"/>
    <cellStyle name="Comma 2 2 10" xfId="813" xr:uid="{00000000-0005-0000-0000-000070000000}"/>
    <cellStyle name="Comma 2 2 2" xfId="166" xr:uid="{00000000-0005-0000-0000-000071000000}"/>
    <cellStyle name="Comma 2 2 2 2" xfId="298" xr:uid="{00000000-0005-0000-0000-000072000000}"/>
    <cellStyle name="Comma 2 2 2 2 2" xfId="955" xr:uid="{00000000-0005-0000-0000-000073000000}"/>
    <cellStyle name="Comma 2 2 2 3" xfId="843" xr:uid="{00000000-0005-0000-0000-000074000000}"/>
    <cellStyle name="Comma 2 2 3" xfId="94" xr:uid="{00000000-0005-0000-0000-000075000000}"/>
    <cellStyle name="Comma 2 2 3 2" xfId="411" xr:uid="{00000000-0005-0000-0000-000076000000}"/>
    <cellStyle name="Comma 2 2 3 2 2" xfId="1055" xr:uid="{00000000-0005-0000-0000-000077000000}"/>
    <cellStyle name="Comma 2 2 3 3" xfId="828" xr:uid="{00000000-0005-0000-0000-000078000000}"/>
    <cellStyle name="Comma 2 2 4" xfId="210" xr:uid="{00000000-0005-0000-0000-000079000000}"/>
    <cellStyle name="Comma 2 2 4 2" xfId="880" xr:uid="{00000000-0005-0000-0000-00007A000000}"/>
    <cellStyle name="Comma 2 2 5" xfId="282" xr:uid="{00000000-0005-0000-0000-00007B000000}"/>
    <cellStyle name="Comma 2 2 5 2" xfId="939" xr:uid="{00000000-0005-0000-0000-00007C000000}"/>
    <cellStyle name="Comma 2 2 6" xfId="519" xr:uid="{00000000-0005-0000-0000-00007D000000}"/>
    <cellStyle name="Comma 2 2 6 2" xfId="1147" xr:uid="{00000000-0005-0000-0000-00007E000000}"/>
    <cellStyle name="Comma 2 2 7" xfId="513" xr:uid="{00000000-0005-0000-0000-00007F000000}"/>
    <cellStyle name="Comma 2 2 7 2" xfId="583" xr:uid="{00000000-0005-0000-0000-000080000000}"/>
    <cellStyle name="Comma 2 2 7 2 2" xfId="1199" xr:uid="{00000000-0005-0000-0000-000081000000}"/>
    <cellStyle name="Comma 2 2 7 3" xfId="700" xr:uid="{00000000-0005-0000-0000-000082000000}"/>
    <cellStyle name="Comma 2 2 7 3 2" xfId="1292" xr:uid="{00000000-0005-0000-0000-000083000000}"/>
    <cellStyle name="Comma 2 2 7 4" xfId="1141" xr:uid="{00000000-0005-0000-0000-000084000000}"/>
    <cellStyle name="Comma 2 2 8" xfId="588" xr:uid="{00000000-0005-0000-0000-000085000000}"/>
    <cellStyle name="Comma 2 2 8 2" xfId="1204" xr:uid="{00000000-0005-0000-0000-000086000000}"/>
    <cellStyle name="Comma 2 2 9" xfId="646" xr:uid="{00000000-0005-0000-0000-000087000000}"/>
    <cellStyle name="Comma 2 2 9 2" xfId="1259" xr:uid="{00000000-0005-0000-0000-000088000000}"/>
    <cellStyle name="Comma 2 3" xfId="63" xr:uid="{00000000-0005-0000-0000-000089000000}"/>
    <cellStyle name="Comma 2 3 10" xfId="784" xr:uid="{00000000-0005-0000-0000-00008A000000}"/>
    <cellStyle name="Comma 2 3 2" xfId="167" xr:uid="{00000000-0005-0000-0000-00008B000000}"/>
    <cellStyle name="Comma 2 3 2 2" xfId="299" xr:uid="{00000000-0005-0000-0000-00008C000000}"/>
    <cellStyle name="Comma 2 3 2 2 2" xfId="956" xr:uid="{00000000-0005-0000-0000-00008D000000}"/>
    <cellStyle name="Comma 2 3 2 3" xfId="844" xr:uid="{00000000-0005-0000-0000-00008E000000}"/>
    <cellStyle name="Comma 2 3 3" xfId="95" xr:uid="{00000000-0005-0000-0000-00008F000000}"/>
    <cellStyle name="Comma 2 3 3 2" xfId="412" xr:uid="{00000000-0005-0000-0000-000090000000}"/>
    <cellStyle name="Comma 2 3 3 2 2" xfId="1056" xr:uid="{00000000-0005-0000-0000-000091000000}"/>
    <cellStyle name="Comma 2 3 3 3" xfId="829" xr:uid="{00000000-0005-0000-0000-000092000000}"/>
    <cellStyle name="Comma 2 3 4" xfId="211" xr:uid="{00000000-0005-0000-0000-000093000000}"/>
    <cellStyle name="Comma 2 3 4 2" xfId="881" xr:uid="{00000000-0005-0000-0000-000094000000}"/>
    <cellStyle name="Comma 2 3 5" xfId="283" xr:uid="{00000000-0005-0000-0000-000095000000}"/>
    <cellStyle name="Comma 2 3 5 2" xfId="940" xr:uid="{00000000-0005-0000-0000-000096000000}"/>
    <cellStyle name="Comma 2 3 6" xfId="520" xr:uid="{00000000-0005-0000-0000-000097000000}"/>
    <cellStyle name="Comma 2 3 6 2" xfId="1148" xr:uid="{00000000-0005-0000-0000-000098000000}"/>
    <cellStyle name="Comma 2 3 7" xfId="589" xr:uid="{00000000-0005-0000-0000-000099000000}"/>
    <cellStyle name="Comma 2 3 7 2" xfId="1205" xr:uid="{00000000-0005-0000-0000-00009A000000}"/>
    <cellStyle name="Comma 2 3 8" xfId="647" xr:uid="{00000000-0005-0000-0000-00009B000000}"/>
    <cellStyle name="Comma 2 3 8 2" xfId="1260" xr:uid="{00000000-0005-0000-0000-00009C000000}"/>
    <cellStyle name="Comma 2 3 9" xfId="815" xr:uid="{00000000-0005-0000-0000-00009D000000}"/>
    <cellStyle name="Comma 2 4" xfId="163" xr:uid="{00000000-0005-0000-0000-00009E000000}"/>
    <cellStyle name="Comma 2 4 2" xfId="295" xr:uid="{00000000-0005-0000-0000-00009F000000}"/>
    <cellStyle name="Comma 2 4 2 2" xfId="952" xr:uid="{00000000-0005-0000-0000-0000A0000000}"/>
    <cellStyle name="Comma 2 4 3" xfId="840" xr:uid="{00000000-0005-0000-0000-0000A1000000}"/>
    <cellStyle name="Comma 2 5" xfId="179" xr:uid="{00000000-0005-0000-0000-0000A2000000}"/>
    <cellStyle name="Comma 2 5 2" xfId="311" xr:uid="{00000000-0005-0000-0000-0000A3000000}"/>
    <cellStyle name="Comma 2 5 2 2" xfId="968" xr:uid="{00000000-0005-0000-0000-0000A4000000}"/>
    <cellStyle name="Comma 2 5 3" xfId="853" xr:uid="{00000000-0005-0000-0000-0000A5000000}"/>
    <cellStyle name="Comma 2 6" xfId="64" xr:uid="{00000000-0005-0000-0000-0000A6000000}"/>
    <cellStyle name="Comma 2 6 2" xfId="408" xr:uid="{00000000-0005-0000-0000-0000A7000000}"/>
    <cellStyle name="Comma 2 6 2 2" xfId="1052" xr:uid="{00000000-0005-0000-0000-0000A8000000}"/>
    <cellStyle name="Comma 2 6 3" xfId="816" xr:uid="{00000000-0005-0000-0000-0000A9000000}"/>
    <cellStyle name="Comma 2 7" xfId="199" xr:uid="{00000000-0005-0000-0000-0000AA000000}"/>
    <cellStyle name="Comma 2 7 2" xfId="869" xr:uid="{00000000-0005-0000-0000-0000AB000000}"/>
    <cellStyle name="Comma 2 8" xfId="269" xr:uid="{00000000-0005-0000-0000-0000AC000000}"/>
    <cellStyle name="Comma 2 8 2" xfId="926" xr:uid="{00000000-0005-0000-0000-0000AD000000}"/>
    <cellStyle name="Comma 2 9" xfId="516" xr:uid="{00000000-0005-0000-0000-0000AE000000}"/>
    <cellStyle name="Comma 2 9 2" xfId="1144" xr:uid="{00000000-0005-0000-0000-0000AF000000}"/>
    <cellStyle name="Comma 3" xfId="62" xr:uid="{00000000-0005-0000-0000-0000B0000000}"/>
    <cellStyle name="Comma 3 10" xfId="644" xr:uid="{00000000-0005-0000-0000-0000B1000000}"/>
    <cellStyle name="Comma 3 10 2" xfId="1257" xr:uid="{00000000-0005-0000-0000-0000B2000000}"/>
    <cellStyle name="Comma 3 11" xfId="814" xr:uid="{00000000-0005-0000-0000-0000B3000000}"/>
    <cellStyle name="Comma 3 12" xfId="776" xr:uid="{00000000-0005-0000-0000-0000B4000000}"/>
    <cellStyle name="Comma 3 2" xfId="123" xr:uid="{00000000-0005-0000-0000-0000B5000000}"/>
    <cellStyle name="Comma 3 2 2" xfId="140" xr:uid="{00000000-0005-0000-0000-0000B6000000}"/>
    <cellStyle name="Comma 3 2 2 2" xfId="175" xr:uid="{00000000-0005-0000-0000-0000B7000000}"/>
    <cellStyle name="Comma 3 2 2 2 2" xfId="307" xr:uid="{00000000-0005-0000-0000-0000B8000000}"/>
    <cellStyle name="Comma 3 2 2 2 2 2" xfId="964" xr:uid="{00000000-0005-0000-0000-0000B9000000}"/>
    <cellStyle name="Comma 3 2 2 2 3" xfId="852" xr:uid="{00000000-0005-0000-0000-0000BA000000}"/>
    <cellStyle name="Comma 3 2 2 3" xfId="221" xr:uid="{00000000-0005-0000-0000-0000BB000000}"/>
    <cellStyle name="Comma 3 2 2 3 2" xfId="419" xr:uid="{00000000-0005-0000-0000-0000BC000000}"/>
    <cellStyle name="Comma 3 2 2 3 2 2" xfId="1063" xr:uid="{00000000-0005-0000-0000-0000BD000000}"/>
    <cellStyle name="Comma 3 2 2 3 3" xfId="891" xr:uid="{00000000-0005-0000-0000-0000BE000000}"/>
    <cellStyle name="Comma 3 2 2 4" xfId="292" xr:uid="{00000000-0005-0000-0000-0000BF000000}"/>
    <cellStyle name="Comma 3 2 2 4 2" xfId="949" xr:uid="{00000000-0005-0000-0000-0000C0000000}"/>
    <cellStyle name="Comma 3 2 2 5" xfId="527" xr:uid="{00000000-0005-0000-0000-0000C1000000}"/>
    <cellStyle name="Comma 3 2 2 5 2" xfId="1155" xr:uid="{00000000-0005-0000-0000-0000C2000000}"/>
    <cellStyle name="Comma 3 2 2 6" xfId="596" xr:uid="{00000000-0005-0000-0000-0000C3000000}"/>
    <cellStyle name="Comma 3 2 2 6 2" xfId="1212" xr:uid="{00000000-0005-0000-0000-0000C4000000}"/>
    <cellStyle name="Comma 3 2 2 7" xfId="654" xr:uid="{00000000-0005-0000-0000-0000C5000000}"/>
    <cellStyle name="Comma 3 2 2 7 2" xfId="1267" xr:uid="{00000000-0005-0000-0000-0000C6000000}"/>
    <cellStyle name="Comma 3 2 2 8" xfId="837" xr:uid="{00000000-0005-0000-0000-0000C7000000}"/>
    <cellStyle name="Comma 3 2 3" xfId="170" xr:uid="{00000000-0005-0000-0000-0000C8000000}"/>
    <cellStyle name="Comma 3 2 3 2" xfId="302" xr:uid="{00000000-0005-0000-0000-0000C9000000}"/>
    <cellStyle name="Comma 3 2 3 2 2" xfId="959" xr:uid="{00000000-0005-0000-0000-0000CA000000}"/>
    <cellStyle name="Comma 3 2 3 3" xfId="847" xr:uid="{00000000-0005-0000-0000-0000CB000000}"/>
    <cellStyle name="Comma 3 2 4" xfId="834" xr:uid="{00000000-0005-0000-0000-0000CC000000}"/>
    <cellStyle name="Comma 3 3" xfId="164" xr:uid="{00000000-0005-0000-0000-0000CD000000}"/>
    <cellStyle name="Comma 3 3 2" xfId="385" xr:uid="{00000000-0005-0000-0000-0000CE000000}"/>
    <cellStyle name="Comma 3 3 2 2" xfId="1032" xr:uid="{00000000-0005-0000-0000-0000CF000000}"/>
    <cellStyle name="Comma 3 3 3" xfId="296" xr:uid="{00000000-0005-0000-0000-0000D0000000}"/>
    <cellStyle name="Comma 3 3 3 2" xfId="953" xr:uid="{00000000-0005-0000-0000-0000D1000000}"/>
    <cellStyle name="Comma 3 3 4" xfId="841" xr:uid="{00000000-0005-0000-0000-0000D2000000}"/>
    <cellStyle name="Comma 3 4" xfId="65" xr:uid="{00000000-0005-0000-0000-0000D3000000}"/>
    <cellStyle name="Comma 3 4 2" xfId="409" xr:uid="{00000000-0005-0000-0000-0000D4000000}"/>
    <cellStyle name="Comma 3 4 2 2" xfId="1053" xr:uid="{00000000-0005-0000-0000-0000D5000000}"/>
    <cellStyle name="Comma 3 4 3" xfId="817" xr:uid="{00000000-0005-0000-0000-0000D6000000}"/>
    <cellStyle name="Comma 3 5" xfId="194" xr:uid="{00000000-0005-0000-0000-0000D7000000}"/>
    <cellStyle name="Comma 3 5 2" xfId="864" xr:uid="{00000000-0005-0000-0000-0000D8000000}"/>
    <cellStyle name="Comma 3 6" xfId="200" xr:uid="{00000000-0005-0000-0000-0000D9000000}"/>
    <cellStyle name="Comma 3 6 2" xfId="870" xr:uid="{00000000-0005-0000-0000-0000DA000000}"/>
    <cellStyle name="Comma 3 7" xfId="270" xr:uid="{00000000-0005-0000-0000-0000DB000000}"/>
    <cellStyle name="Comma 3 7 2" xfId="927" xr:uid="{00000000-0005-0000-0000-0000DC000000}"/>
    <cellStyle name="Comma 3 8" xfId="517" xr:uid="{00000000-0005-0000-0000-0000DD000000}"/>
    <cellStyle name="Comma 3 8 2" xfId="1145" xr:uid="{00000000-0005-0000-0000-0000DE000000}"/>
    <cellStyle name="Comma 3 9" xfId="586" xr:uid="{00000000-0005-0000-0000-0000DF000000}"/>
    <cellStyle name="Comma 3 9 2" xfId="1202" xr:uid="{00000000-0005-0000-0000-0000E0000000}"/>
    <cellStyle name="Comma 4" xfId="87" xr:uid="{00000000-0005-0000-0000-0000E1000000}"/>
    <cellStyle name="Comma 4 10" xfId="781" xr:uid="{00000000-0005-0000-0000-0000E2000000}"/>
    <cellStyle name="Comma 4 2" xfId="165" xr:uid="{00000000-0005-0000-0000-0000E3000000}"/>
    <cellStyle name="Comma 4 2 2" xfId="297" xr:uid="{00000000-0005-0000-0000-0000E4000000}"/>
    <cellStyle name="Comma 4 2 2 2" xfId="954" xr:uid="{00000000-0005-0000-0000-0000E5000000}"/>
    <cellStyle name="Comma 4 2 3" xfId="842" xr:uid="{00000000-0005-0000-0000-0000E6000000}"/>
    <cellStyle name="Comma 4 3" xfId="196" xr:uid="{00000000-0005-0000-0000-0000E7000000}"/>
    <cellStyle name="Comma 4 3 2" xfId="410" xr:uid="{00000000-0005-0000-0000-0000E8000000}"/>
    <cellStyle name="Comma 4 3 2 2" xfId="1054" xr:uid="{00000000-0005-0000-0000-0000E9000000}"/>
    <cellStyle name="Comma 4 3 3" xfId="866" xr:uid="{00000000-0005-0000-0000-0000EA000000}"/>
    <cellStyle name="Comma 4 4" xfId="208" xr:uid="{00000000-0005-0000-0000-0000EB000000}"/>
    <cellStyle name="Comma 4 4 2" xfId="878" xr:uid="{00000000-0005-0000-0000-0000EC000000}"/>
    <cellStyle name="Comma 4 5" xfId="279" xr:uid="{00000000-0005-0000-0000-0000ED000000}"/>
    <cellStyle name="Comma 4 5 2" xfId="936" xr:uid="{00000000-0005-0000-0000-0000EE000000}"/>
    <cellStyle name="Comma 4 6" xfId="518" xr:uid="{00000000-0005-0000-0000-0000EF000000}"/>
    <cellStyle name="Comma 4 6 2" xfId="1146" xr:uid="{00000000-0005-0000-0000-0000F0000000}"/>
    <cellStyle name="Comma 4 7" xfId="587" xr:uid="{00000000-0005-0000-0000-0000F1000000}"/>
    <cellStyle name="Comma 4 7 2" xfId="1203" xr:uid="{00000000-0005-0000-0000-0000F2000000}"/>
    <cellStyle name="Comma 4 8" xfId="645" xr:uid="{00000000-0005-0000-0000-0000F3000000}"/>
    <cellStyle name="Comma 4 8 2" xfId="1258" xr:uid="{00000000-0005-0000-0000-0000F4000000}"/>
    <cellStyle name="Comma 4 9" xfId="826" xr:uid="{00000000-0005-0000-0000-0000F5000000}"/>
    <cellStyle name="Comma 5" xfId="114" xr:uid="{00000000-0005-0000-0000-0000F6000000}"/>
    <cellStyle name="Comma 5 2" xfId="148" xr:uid="{00000000-0005-0000-0000-0000F7000000}"/>
    <cellStyle name="Comma 5 2 2" xfId="293" xr:uid="{00000000-0005-0000-0000-0000F8000000}"/>
    <cellStyle name="Comma 5 2 2 2" xfId="950" xr:uid="{00000000-0005-0000-0000-0000F9000000}"/>
    <cellStyle name="Comma 5 2 3" xfId="838" xr:uid="{00000000-0005-0000-0000-0000FA000000}"/>
    <cellStyle name="Comma 5 3" xfId="169" xr:uid="{00000000-0005-0000-0000-0000FB000000}"/>
    <cellStyle name="Comma 5 3 2" xfId="301" xr:uid="{00000000-0005-0000-0000-0000FC000000}"/>
    <cellStyle name="Comma 5 3 2 2" xfId="958" xr:uid="{00000000-0005-0000-0000-0000FD000000}"/>
    <cellStyle name="Comma 5 3 3" xfId="846" xr:uid="{00000000-0005-0000-0000-0000FE000000}"/>
    <cellStyle name="Comma 5 4" xfId="213" xr:uid="{00000000-0005-0000-0000-0000FF000000}"/>
    <cellStyle name="Comma 5 4 2" xfId="414" xr:uid="{00000000-0005-0000-0000-000000010000}"/>
    <cellStyle name="Comma 5 4 2 2" xfId="1058" xr:uid="{00000000-0005-0000-0000-000001010000}"/>
    <cellStyle name="Comma 5 4 3" xfId="883" xr:uid="{00000000-0005-0000-0000-000002010000}"/>
    <cellStyle name="Comma 5 5" xfId="284" xr:uid="{00000000-0005-0000-0000-000003010000}"/>
    <cellStyle name="Comma 5 5 2" xfId="941" xr:uid="{00000000-0005-0000-0000-000004010000}"/>
    <cellStyle name="Comma 5 6" xfId="522" xr:uid="{00000000-0005-0000-0000-000005010000}"/>
    <cellStyle name="Comma 5 6 2" xfId="1150" xr:uid="{00000000-0005-0000-0000-000006010000}"/>
    <cellStyle name="Comma 5 7" xfId="591" xr:uid="{00000000-0005-0000-0000-000007010000}"/>
    <cellStyle name="Comma 5 7 2" xfId="1207" xr:uid="{00000000-0005-0000-0000-000008010000}"/>
    <cellStyle name="Comma 5 8" xfId="649" xr:uid="{00000000-0005-0000-0000-000009010000}"/>
    <cellStyle name="Comma 5 8 2" xfId="1262" xr:uid="{00000000-0005-0000-0000-00000A010000}"/>
    <cellStyle name="Comma 5 9" xfId="830" xr:uid="{00000000-0005-0000-0000-00000B010000}"/>
    <cellStyle name="Comma 6" xfId="162" xr:uid="{00000000-0005-0000-0000-00000C010000}"/>
    <cellStyle name="Comma 6 2" xfId="222" xr:uid="{00000000-0005-0000-0000-00000D010000}"/>
    <cellStyle name="Comma 6 2 2" xfId="384" xr:uid="{00000000-0005-0000-0000-00000E010000}"/>
    <cellStyle name="Comma 6 2 2 2" xfId="1031" xr:uid="{00000000-0005-0000-0000-00000F010000}"/>
    <cellStyle name="Comma 6 2 3" xfId="892" xr:uid="{00000000-0005-0000-0000-000010010000}"/>
    <cellStyle name="Comma 6 3" xfId="420" xr:uid="{00000000-0005-0000-0000-000011010000}"/>
    <cellStyle name="Comma 6 3 2" xfId="1064" xr:uid="{00000000-0005-0000-0000-000012010000}"/>
    <cellStyle name="Comma 6 4" xfId="294" xr:uid="{00000000-0005-0000-0000-000013010000}"/>
    <cellStyle name="Comma 6 4 2" xfId="951" xr:uid="{00000000-0005-0000-0000-000014010000}"/>
    <cellStyle name="Comma 6 5" xfId="839" xr:uid="{00000000-0005-0000-0000-000015010000}"/>
    <cellStyle name="Comma 7" xfId="84" xr:uid="{00000000-0005-0000-0000-000016010000}"/>
    <cellStyle name="Comma 7 2" xfId="233" xr:uid="{00000000-0005-0000-0000-000017010000}"/>
    <cellStyle name="Comma 7 2 2" xfId="428" xr:uid="{00000000-0005-0000-0000-000018010000}"/>
    <cellStyle name="Comma 7 2 2 2" xfId="1072" xr:uid="{00000000-0005-0000-0000-000019010000}"/>
    <cellStyle name="Comma 7 2 3" xfId="903" xr:uid="{00000000-0005-0000-0000-00001A010000}"/>
    <cellStyle name="Comma 7 3" xfId="337" xr:uid="{00000000-0005-0000-0000-00001B010000}"/>
    <cellStyle name="Comma 7 3 2" xfId="991" xr:uid="{00000000-0005-0000-0000-00001C010000}"/>
    <cellStyle name="Comma 7 4" xfId="535" xr:uid="{00000000-0005-0000-0000-00001D010000}"/>
    <cellStyle name="Comma 7 4 2" xfId="1163" xr:uid="{00000000-0005-0000-0000-00001E010000}"/>
    <cellStyle name="Comma 7 5" xfId="604" xr:uid="{00000000-0005-0000-0000-00001F010000}"/>
    <cellStyle name="Comma 7 5 2" xfId="1220" xr:uid="{00000000-0005-0000-0000-000020010000}"/>
    <cellStyle name="Comma 7 6" xfId="662" xr:uid="{00000000-0005-0000-0000-000021010000}"/>
    <cellStyle name="Comma 7 6 2" xfId="1269" xr:uid="{00000000-0005-0000-0000-000022010000}"/>
    <cellStyle name="Comma 7 7" xfId="825" xr:uid="{00000000-0005-0000-0000-000023010000}"/>
    <cellStyle name="Comma 8" xfId="187" xr:uid="{00000000-0005-0000-0000-000024010000}"/>
    <cellStyle name="Comma 8 10" xfId="735" xr:uid="{00000000-0005-0000-0000-000025010000}"/>
    <cellStyle name="Comma 8 10 2" xfId="763" xr:uid="{00000000-0005-0000-0000-000026010000}"/>
    <cellStyle name="Comma 8 11" xfId="742" xr:uid="{00000000-0005-0000-0000-000027010000}"/>
    <cellStyle name="Comma 8 12" xfId="858" xr:uid="{00000000-0005-0000-0000-000028010000}"/>
    <cellStyle name="Comma 8 2" xfId="249" xr:uid="{00000000-0005-0000-0000-000029010000}"/>
    <cellStyle name="Comma 8 2 2" xfId="444" xr:uid="{00000000-0005-0000-0000-00002A010000}"/>
    <cellStyle name="Comma 8 2 2 2" xfId="1088" xr:uid="{00000000-0005-0000-0000-00002B010000}"/>
    <cellStyle name="Comma 8 2 3" xfId="357" xr:uid="{00000000-0005-0000-0000-00002C010000}"/>
    <cellStyle name="Comma 8 2 3 2" xfId="1010" xr:uid="{00000000-0005-0000-0000-00002D010000}"/>
    <cellStyle name="Comma 8 2 4" xfId="551" xr:uid="{00000000-0005-0000-0000-00002E010000}"/>
    <cellStyle name="Comma 8 2 4 2" xfId="1179" xr:uid="{00000000-0005-0000-0000-00002F010000}"/>
    <cellStyle name="Comma 8 2 5" xfId="620" xr:uid="{00000000-0005-0000-0000-000030010000}"/>
    <cellStyle name="Comma 8 2 5 2" xfId="1236" xr:uid="{00000000-0005-0000-0000-000031010000}"/>
    <cellStyle name="Comma 8 2 6" xfId="678" xr:uid="{00000000-0005-0000-0000-000032010000}"/>
    <cellStyle name="Comma 8 2 6 2" xfId="1277" xr:uid="{00000000-0005-0000-0000-000033010000}"/>
    <cellStyle name="Comma 8 2 7" xfId="913" xr:uid="{00000000-0005-0000-0000-000034010000}"/>
    <cellStyle name="Comma 8 3" xfId="258" xr:uid="{00000000-0005-0000-0000-000035010000}"/>
    <cellStyle name="Comma 8 3 2" xfId="452" xr:uid="{00000000-0005-0000-0000-000036010000}"/>
    <cellStyle name="Comma 8 3 2 2" xfId="1096" xr:uid="{00000000-0005-0000-0000-000037010000}"/>
    <cellStyle name="Comma 8 3 3" xfId="373" xr:uid="{00000000-0005-0000-0000-000038010000}"/>
    <cellStyle name="Comma 8 3 3 2" xfId="1023" xr:uid="{00000000-0005-0000-0000-000039010000}"/>
    <cellStyle name="Comma 8 3 4" xfId="558" xr:uid="{00000000-0005-0000-0000-00003A010000}"/>
    <cellStyle name="Comma 8 3 4 2" xfId="1186" xr:uid="{00000000-0005-0000-0000-00003B010000}"/>
    <cellStyle name="Comma 8 3 5" xfId="627" xr:uid="{00000000-0005-0000-0000-00003C010000}"/>
    <cellStyle name="Comma 8 3 5 2" xfId="1243" xr:uid="{00000000-0005-0000-0000-00003D010000}"/>
    <cellStyle name="Comma 8 3 6" xfId="685" xr:uid="{00000000-0005-0000-0000-00003E010000}"/>
    <cellStyle name="Comma 8 3 6 2" xfId="1282" xr:uid="{00000000-0005-0000-0000-00003F010000}"/>
    <cellStyle name="Comma 8 3 7" xfId="919" xr:uid="{00000000-0005-0000-0000-000040010000}"/>
    <cellStyle name="Comma 8 4" xfId="237" xr:uid="{00000000-0005-0000-0000-000041010000}"/>
    <cellStyle name="Comma 8 4 2" xfId="482" xr:uid="{00000000-0005-0000-0000-000042010000}"/>
    <cellStyle name="Comma 8 4 2 2" xfId="1113" xr:uid="{00000000-0005-0000-0000-000043010000}"/>
    <cellStyle name="Comma 8 4 3" xfId="432" xr:uid="{00000000-0005-0000-0000-000044010000}"/>
    <cellStyle name="Comma 8 4 3 2" xfId="1076" xr:uid="{00000000-0005-0000-0000-000045010000}"/>
    <cellStyle name="Comma 8 4 4" xfId="907" xr:uid="{00000000-0005-0000-0000-000046010000}"/>
    <cellStyle name="Comma 8 5" xfId="265" xr:uid="{00000000-0005-0000-0000-000047010000}"/>
    <cellStyle name="Comma 8 5 2" xfId="512" xr:uid="{00000000-0005-0000-0000-000048010000}"/>
    <cellStyle name="Comma 8 5 2 2" xfId="1140" xr:uid="{00000000-0005-0000-0000-000049010000}"/>
    <cellStyle name="Comma 8 5 3" xfId="573" xr:uid="{00000000-0005-0000-0000-00004A010000}"/>
    <cellStyle name="Comma 8 5 3 2" xfId="1192" xr:uid="{00000000-0005-0000-0000-00004B010000}"/>
    <cellStyle name="Comma 8 5 4" xfId="633" xr:uid="{00000000-0005-0000-0000-00004C010000}"/>
    <cellStyle name="Comma 8 5 4 2" xfId="1249" xr:uid="{00000000-0005-0000-0000-00004D010000}"/>
    <cellStyle name="Comma 8 5 5" xfId="691" xr:uid="{00000000-0005-0000-0000-00004E010000}"/>
    <cellStyle name="Comma 8 5 5 2" xfId="1288" xr:uid="{00000000-0005-0000-0000-00004F010000}"/>
    <cellStyle name="Comma 8 5 6" xfId="720" xr:uid="{00000000-0005-0000-0000-000050010000}"/>
    <cellStyle name="Comma 8 5 6 2" xfId="724" xr:uid="{00000000-0005-0000-0000-000051010000}"/>
    <cellStyle name="Comma 8 5 6 2 2" xfId="732" xr:uid="{00000000-0005-0000-0000-000052010000}"/>
    <cellStyle name="Comma 8 5 6 2 2 2" xfId="1308" xr:uid="{00000000-0005-0000-0000-000053010000}"/>
    <cellStyle name="Comma 8 5 6 2 2 3" xfId="1317" xr:uid="{00000000-0005-0000-0000-000054010000}"/>
    <cellStyle name="Comma 8 5 6 2 3" xfId="1302" xr:uid="{00000000-0005-0000-0000-000055010000}"/>
    <cellStyle name="Comma 8 5 6 3" xfId="924" xr:uid="{00000000-0005-0000-0000-000056010000}"/>
    <cellStyle name="Comma 8 5 7" xfId="790" xr:uid="{00000000-0005-0000-0000-000057010000}"/>
    <cellStyle name="Comma 8 6" xfId="341" xr:uid="{00000000-0005-0000-0000-000058010000}"/>
    <cellStyle name="Comma 8 6 2" xfId="995" xr:uid="{00000000-0005-0000-0000-000059010000}"/>
    <cellStyle name="Comma 8 7" xfId="539" xr:uid="{00000000-0005-0000-0000-00005A010000}"/>
    <cellStyle name="Comma 8 7 2" xfId="1167" xr:uid="{00000000-0005-0000-0000-00005B010000}"/>
    <cellStyle name="Comma 8 8" xfId="608" xr:uid="{00000000-0005-0000-0000-00005C010000}"/>
    <cellStyle name="Comma 8 8 2" xfId="1224" xr:uid="{00000000-0005-0000-0000-00005D010000}"/>
    <cellStyle name="Comma 8 9" xfId="666" xr:uid="{00000000-0005-0000-0000-00005E010000}"/>
    <cellStyle name="Comma 8 9 2" xfId="1271" xr:uid="{00000000-0005-0000-0000-00005F010000}"/>
    <cellStyle name="Comma 9" xfId="241" xr:uid="{00000000-0005-0000-0000-000060010000}"/>
    <cellStyle name="Comma 9 2" xfId="253" xr:uid="{00000000-0005-0000-0000-000061010000}"/>
    <cellStyle name="Comma 9 2 2" xfId="448" xr:uid="{00000000-0005-0000-0000-000062010000}"/>
    <cellStyle name="Comma 9 2 2 2" xfId="1092" xr:uid="{00000000-0005-0000-0000-000063010000}"/>
    <cellStyle name="Comma 9 2 3" xfId="555" xr:uid="{00000000-0005-0000-0000-000064010000}"/>
    <cellStyle name="Comma 9 2 3 2" xfId="1183" xr:uid="{00000000-0005-0000-0000-000065010000}"/>
    <cellStyle name="Comma 9 2 4" xfId="624" xr:uid="{00000000-0005-0000-0000-000066010000}"/>
    <cellStyle name="Comma 9 2 4 2" xfId="1240" xr:uid="{00000000-0005-0000-0000-000067010000}"/>
    <cellStyle name="Comma 9 2 5" xfId="682" xr:uid="{00000000-0005-0000-0000-000068010000}"/>
    <cellStyle name="Comma 9 2 5 2" xfId="1279" xr:uid="{00000000-0005-0000-0000-000069010000}"/>
    <cellStyle name="Comma 9 2 6" xfId="915" xr:uid="{00000000-0005-0000-0000-00006A010000}"/>
    <cellStyle name="Comma 9 3" xfId="436" xr:uid="{00000000-0005-0000-0000-00006B010000}"/>
    <cellStyle name="Comma 9 3 2" xfId="1080" xr:uid="{00000000-0005-0000-0000-00006C010000}"/>
    <cellStyle name="Comma 9 4" xfId="346" xr:uid="{00000000-0005-0000-0000-00006D010000}"/>
    <cellStyle name="Comma 9 4 2" xfId="1000" xr:uid="{00000000-0005-0000-0000-00006E010000}"/>
    <cellStyle name="Comma 9 5" xfId="543" xr:uid="{00000000-0005-0000-0000-00006F010000}"/>
    <cellStyle name="Comma 9 5 2" xfId="1171" xr:uid="{00000000-0005-0000-0000-000070010000}"/>
    <cellStyle name="Comma 9 6" xfId="612" xr:uid="{00000000-0005-0000-0000-000071010000}"/>
    <cellStyle name="Comma 9 6 2" xfId="1228" xr:uid="{00000000-0005-0000-0000-000072010000}"/>
    <cellStyle name="Comma 9 7" xfId="670" xr:uid="{00000000-0005-0000-0000-000073010000}"/>
    <cellStyle name="Comma 9 7 2" xfId="1273" xr:uid="{00000000-0005-0000-0000-000074010000}"/>
    <cellStyle name="Comma 9 8" xfId="909" xr:uid="{00000000-0005-0000-0000-000075010000}"/>
    <cellStyle name="Currency 10" xfId="183" xr:uid="{00000000-0005-0000-0000-000076010000}"/>
    <cellStyle name="Currency 10 2" xfId="227" xr:uid="{00000000-0005-0000-0000-000077010000}"/>
    <cellStyle name="Currency 10 2 2" xfId="455" xr:uid="{00000000-0005-0000-0000-000078010000}"/>
    <cellStyle name="Currency 10 2 2 2" xfId="1099" xr:uid="{00000000-0005-0000-0000-000079010000}"/>
    <cellStyle name="Currency 10 2 3" xfId="361" xr:uid="{00000000-0005-0000-0000-00007A010000}"/>
    <cellStyle name="Currency 10 2 3 2" xfId="1013" xr:uid="{00000000-0005-0000-0000-00007B010000}"/>
    <cellStyle name="Currency 10 2 4" xfId="560" xr:uid="{00000000-0005-0000-0000-00007C010000}"/>
    <cellStyle name="Currency 10 2 4 2" xfId="1188" xr:uid="{00000000-0005-0000-0000-00007D010000}"/>
    <cellStyle name="Currency 10 2 5" xfId="629" xr:uid="{00000000-0005-0000-0000-00007E010000}"/>
    <cellStyle name="Currency 10 2 5 2" xfId="1245" xr:uid="{00000000-0005-0000-0000-00007F010000}"/>
    <cellStyle name="Currency 10 2 6" xfId="687" xr:uid="{00000000-0005-0000-0000-000080010000}"/>
    <cellStyle name="Currency 10 2 6 2" xfId="1284" xr:uid="{00000000-0005-0000-0000-000081010000}"/>
    <cellStyle name="Currency 10 2 7" xfId="897" xr:uid="{00000000-0005-0000-0000-000082010000}"/>
    <cellStyle name="Currency 10 3" xfId="423" xr:uid="{00000000-0005-0000-0000-000083010000}"/>
    <cellStyle name="Currency 10 3 2" xfId="1067" xr:uid="{00000000-0005-0000-0000-000084010000}"/>
    <cellStyle name="Currency 10 4" xfId="328" xr:uid="{00000000-0005-0000-0000-000085010000}"/>
    <cellStyle name="Currency 10 4 2" xfId="983" xr:uid="{00000000-0005-0000-0000-000086010000}"/>
    <cellStyle name="Currency 10 5" xfId="530" xr:uid="{00000000-0005-0000-0000-000087010000}"/>
    <cellStyle name="Currency 10 5 2" xfId="1158" xr:uid="{00000000-0005-0000-0000-000088010000}"/>
    <cellStyle name="Currency 10 6" xfId="599" xr:uid="{00000000-0005-0000-0000-000089010000}"/>
    <cellStyle name="Currency 10 6 2" xfId="1215" xr:uid="{00000000-0005-0000-0000-00008A010000}"/>
    <cellStyle name="Currency 10 7" xfId="657" xr:uid="{00000000-0005-0000-0000-00008B010000}"/>
    <cellStyle name="Currency 10 7 2" xfId="1268" xr:uid="{00000000-0005-0000-0000-00008C010000}"/>
    <cellStyle name="Currency 10 8" xfId="854" xr:uid="{00000000-0005-0000-0000-00008D010000}"/>
    <cellStyle name="Currency 11" xfId="212" xr:uid="{00000000-0005-0000-0000-00008E010000}"/>
    <cellStyle name="Currency 11 2" xfId="413" xr:uid="{00000000-0005-0000-0000-00008F010000}"/>
    <cellStyle name="Currency 11 2 2" xfId="1057" xr:uid="{00000000-0005-0000-0000-000090010000}"/>
    <cellStyle name="Currency 11 3" xfId="882" xr:uid="{00000000-0005-0000-0000-000091010000}"/>
    <cellStyle name="Currency 12" xfId="186" xr:uid="{00000000-0005-0000-0000-000092010000}"/>
    <cellStyle name="Currency 12 10" xfId="743" xr:uid="{00000000-0005-0000-0000-000093010000}"/>
    <cellStyle name="Currency 12 11" xfId="857" xr:uid="{00000000-0005-0000-0000-000094010000}"/>
    <cellStyle name="Currency 12 2" xfId="257" xr:uid="{00000000-0005-0000-0000-000095010000}"/>
    <cellStyle name="Currency 12 2 2" xfId="451" xr:uid="{00000000-0005-0000-0000-000096010000}"/>
    <cellStyle name="Currency 12 2 2 2" xfId="1095" xr:uid="{00000000-0005-0000-0000-000097010000}"/>
    <cellStyle name="Currency 12 2 3" xfId="918" xr:uid="{00000000-0005-0000-0000-000098010000}"/>
    <cellStyle name="Currency 12 3" xfId="264" xr:uid="{00000000-0005-0000-0000-000099010000}"/>
    <cellStyle name="Currency 12 3 2" xfId="511" xr:uid="{00000000-0005-0000-0000-00009A010000}"/>
    <cellStyle name="Currency 12 3 2 2" xfId="1139" xr:uid="{00000000-0005-0000-0000-00009B010000}"/>
    <cellStyle name="Currency 12 3 3" xfId="572" xr:uid="{00000000-0005-0000-0000-00009C010000}"/>
    <cellStyle name="Currency 12 3 3 2" xfId="1191" xr:uid="{00000000-0005-0000-0000-00009D010000}"/>
    <cellStyle name="Currency 12 3 4" xfId="632" xr:uid="{00000000-0005-0000-0000-00009E010000}"/>
    <cellStyle name="Currency 12 3 4 2" xfId="1248" xr:uid="{00000000-0005-0000-0000-00009F010000}"/>
    <cellStyle name="Currency 12 3 5" xfId="690" xr:uid="{00000000-0005-0000-0000-0000A0010000}"/>
    <cellStyle name="Currency 12 3 5 2" xfId="1287" xr:uid="{00000000-0005-0000-0000-0000A1010000}"/>
    <cellStyle name="Currency 12 3 6" xfId="717" xr:uid="{00000000-0005-0000-0000-0000A2010000}"/>
    <cellStyle name="Currency 12 3 6 2" xfId="723" xr:uid="{00000000-0005-0000-0000-0000A3010000}"/>
    <cellStyle name="Currency 12 3 6 2 2" xfId="731" xr:uid="{00000000-0005-0000-0000-0000A4010000}"/>
    <cellStyle name="Currency 12 3 6 2 2 2" xfId="1307" xr:uid="{00000000-0005-0000-0000-0000A5010000}"/>
    <cellStyle name="Currency 12 3 6 2 2 3" xfId="1316" xr:uid="{00000000-0005-0000-0000-0000A6010000}"/>
    <cellStyle name="Currency 12 3 6 2 3" xfId="1301" xr:uid="{00000000-0005-0000-0000-0000A7010000}"/>
    <cellStyle name="Currency 12 3 6 3" xfId="923" xr:uid="{00000000-0005-0000-0000-0000A8010000}"/>
    <cellStyle name="Currency 12 3 7" xfId="789" xr:uid="{00000000-0005-0000-0000-0000A9010000}"/>
    <cellStyle name="Currency 12 4" xfId="268" xr:uid="{00000000-0005-0000-0000-0000AA010000}"/>
    <cellStyle name="Currency 12 4 2" xfId="481" xr:uid="{00000000-0005-0000-0000-0000AB010000}"/>
    <cellStyle name="Currency 12 4 2 2" xfId="1112" xr:uid="{00000000-0005-0000-0000-0000AC010000}"/>
    <cellStyle name="Currency 12 4 3" xfId="566" xr:uid="{00000000-0005-0000-0000-0000AD010000}"/>
    <cellStyle name="Currency 12 4 3 2" xfId="1190" xr:uid="{00000000-0005-0000-0000-0000AE010000}"/>
    <cellStyle name="Currency 12 4 4" xfId="631" xr:uid="{00000000-0005-0000-0000-0000AF010000}"/>
    <cellStyle name="Currency 12 4 4 2" xfId="1247" xr:uid="{00000000-0005-0000-0000-0000B0010000}"/>
    <cellStyle name="Currency 12 4 5" xfId="689" xr:uid="{00000000-0005-0000-0000-0000B1010000}"/>
    <cellStyle name="Currency 12 4 5 2" xfId="1286" xr:uid="{00000000-0005-0000-0000-0000B2010000}"/>
    <cellStyle name="Currency 12 4 6" xfId="925" xr:uid="{00000000-0005-0000-0000-0000B3010000}"/>
    <cellStyle name="Currency 12 5" xfId="355" xr:uid="{00000000-0005-0000-0000-0000B4010000}"/>
    <cellStyle name="Currency 12 5 2" xfId="1008" xr:uid="{00000000-0005-0000-0000-0000B5010000}"/>
    <cellStyle name="Currency 12 6" xfId="557" xr:uid="{00000000-0005-0000-0000-0000B6010000}"/>
    <cellStyle name="Currency 12 6 2" xfId="1185" xr:uid="{00000000-0005-0000-0000-0000B7010000}"/>
    <cellStyle name="Currency 12 7" xfId="626" xr:uid="{00000000-0005-0000-0000-0000B8010000}"/>
    <cellStyle name="Currency 12 7 2" xfId="1242" xr:uid="{00000000-0005-0000-0000-0000B9010000}"/>
    <cellStyle name="Currency 12 8" xfId="684" xr:uid="{00000000-0005-0000-0000-0000BA010000}"/>
    <cellStyle name="Currency 12 8 2" xfId="1281" xr:uid="{00000000-0005-0000-0000-0000BB010000}"/>
    <cellStyle name="Currency 12 9" xfId="736" xr:uid="{00000000-0005-0000-0000-0000BC010000}"/>
    <cellStyle name="Currency 12 9 2" xfId="764" xr:uid="{00000000-0005-0000-0000-0000BD010000}"/>
    <cellStyle name="Currency 13" xfId="378" xr:uid="{00000000-0005-0000-0000-0000BE010000}"/>
    <cellStyle name="Currency 13 2" xfId="783" xr:uid="{00000000-0005-0000-0000-0000BF010000}"/>
    <cellStyle name="Currency 13 3" xfId="1027" xr:uid="{00000000-0005-0000-0000-0000C0010000}"/>
    <cellStyle name="Currency 14" xfId="391" xr:uid="{00000000-0005-0000-0000-0000C1010000}"/>
    <cellStyle name="Currency 14 2" xfId="463" xr:uid="{00000000-0005-0000-0000-0000C2010000}"/>
    <cellStyle name="Currency 14 2 2" xfId="1100" xr:uid="{00000000-0005-0000-0000-0000C3010000}"/>
    <cellStyle name="Currency 14 3" xfId="561" xr:uid="{00000000-0005-0000-0000-0000C4010000}"/>
    <cellStyle name="Currency 14 3 2" xfId="1189" xr:uid="{00000000-0005-0000-0000-0000C5010000}"/>
    <cellStyle name="Currency 14 4" xfId="630" xr:uid="{00000000-0005-0000-0000-0000C6010000}"/>
    <cellStyle name="Currency 14 4 2" xfId="1246" xr:uid="{00000000-0005-0000-0000-0000C7010000}"/>
    <cellStyle name="Currency 14 5" xfId="688" xr:uid="{00000000-0005-0000-0000-0000C8010000}"/>
    <cellStyle name="Currency 14 5 2" xfId="1285" xr:uid="{00000000-0005-0000-0000-0000C9010000}"/>
    <cellStyle name="Currency 14 6" xfId="1038" xr:uid="{00000000-0005-0000-0000-0000CA010000}"/>
    <cellStyle name="Currency 15" xfId="281" xr:uid="{00000000-0005-0000-0000-0000CB010000}"/>
    <cellStyle name="Currency 15 2" xfId="938" xr:uid="{00000000-0005-0000-0000-0000CC010000}"/>
    <cellStyle name="Currency 16" xfId="521" xr:uid="{00000000-0005-0000-0000-0000CD010000}"/>
    <cellStyle name="Currency 16 2" xfId="1149" xr:uid="{00000000-0005-0000-0000-0000CE010000}"/>
    <cellStyle name="Currency 17" xfId="590" xr:uid="{00000000-0005-0000-0000-0000CF010000}"/>
    <cellStyle name="Currency 17 2" xfId="1206" xr:uid="{00000000-0005-0000-0000-0000D0010000}"/>
    <cellStyle name="Currency 18" xfId="648" xr:uid="{00000000-0005-0000-0000-0000D1010000}"/>
    <cellStyle name="Currency 18 2" xfId="1261" xr:uid="{00000000-0005-0000-0000-0000D2010000}"/>
    <cellStyle name="Currency 19" xfId="713" xr:uid="{00000000-0005-0000-0000-0000D3010000}"/>
    <cellStyle name="Currency 19 2" xfId="1299" xr:uid="{00000000-0005-0000-0000-0000D4010000}"/>
    <cellStyle name="Currency 2" xfId="56" xr:uid="{00000000-0005-0000-0000-0000D5010000}"/>
    <cellStyle name="Currency 2 10" xfId="753" xr:uid="{00000000-0005-0000-0000-0000D6010000}"/>
    <cellStyle name="Currency 2 10 2" xfId="811" xr:uid="{00000000-0005-0000-0000-0000D7010000}"/>
    <cellStyle name="Currency 2 11" xfId="759" xr:uid="{00000000-0005-0000-0000-0000D8010000}"/>
    <cellStyle name="Currency 2 12" xfId="777" xr:uid="{00000000-0005-0000-0000-0000D9010000}"/>
    <cellStyle name="Currency 2 13" xfId="1325" xr:uid="{00000000-0005-0000-0000-0000DA010000}"/>
    <cellStyle name="Currency 2 14" xfId="1330" xr:uid="{00000000-0005-0000-0000-0000DB010000}"/>
    <cellStyle name="Currency 2 15" xfId="1335" xr:uid="{00000000-0005-0000-0000-0000DC010000}"/>
    <cellStyle name="Currency 2 2" xfId="119" xr:uid="{00000000-0005-0000-0000-0000DD010000}"/>
    <cellStyle name="Currency 2 2 2" xfId="172" xr:uid="{00000000-0005-0000-0000-0000DE010000}"/>
    <cellStyle name="Currency 2 2 2 2" xfId="304" xr:uid="{00000000-0005-0000-0000-0000DF010000}"/>
    <cellStyle name="Currency 2 2 2 2 2" xfId="961" xr:uid="{00000000-0005-0000-0000-0000E0010000}"/>
    <cellStyle name="Currency 2 2 2 3" xfId="849" xr:uid="{00000000-0005-0000-0000-0000E1010000}"/>
    <cellStyle name="Currency 2 2 3" xfId="215" xr:uid="{00000000-0005-0000-0000-0000E2010000}"/>
    <cellStyle name="Currency 2 2 3 2" xfId="416" xr:uid="{00000000-0005-0000-0000-0000E3010000}"/>
    <cellStyle name="Currency 2 2 3 2 2" xfId="1060" xr:uid="{00000000-0005-0000-0000-0000E4010000}"/>
    <cellStyle name="Currency 2 2 3 3" xfId="885" xr:uid="{00000000-0005-0000-0000-0000E5010000}"/>
    <cellStyle name="Currency 2 2 4" xfId="286" xr:uid="{00000000-0005-0000-0000-0000E6010000}"/>
    <cellStyle name="Currency 2 2 4 2" xfId="943" xr:uid="{00000000-0005-0000-0000-0000E7010000}"/>
    <cellStyle name="Currency 2 2 5" xfId="524" xr:uid="{00000000-0005-0000-0000-0000E8010000}"/>
    <cellStyle name="Currency 2 2 5 2" xfId="1152" xr:uid="{00000000-0005-0000-0000-0000E9010000}"/>
    <cellStyle name="Currency 2 2 6" xfId="593" xr:uid="{00000000-0005-0000-0000-0000EA010000}"/>
    <cellStyle name="Currency 2 2 6 2" xfId="1209" xr:uid="{00000000-0005-0000-0000-0000EB010000}"/>
    <cellStyle name="Currency 2 2 7" xfId="651" xr:uid="{00000000-0005-0000-0000-0000EC010000}"/>
    <cellStyle name="Currency 2 2 7 2" xfId="1264" xr:uid="{00000000-0005-0000-0000-0000ED010000}"/>
    <cellStyle name="Currency 2 2 8" xfId="832" xr:uid="{00000000-0005-0000-0000-0000EE010000}"/>
    <cellStyle name="Currency 2 3" xfId="171" xr:uid="{00000000-0005-0000-0000-0000EF010000}"/>
    <cellStyle name="Currency 2 3 2" xfId="303" xr:uid="{00000000-0005-0000-0000-0000F0010000}"/>
    <cellStyle name="Currency 2 3 2 2" xfId="960" xr:uid="{00000000-0005-0000-0000-0000F1010000}"/>
    <cellStyle name="Currency 2 3 3" xfId="848" xr:uid="{00000000-0005-0000-0000-0000F2010000}"/>
    <cellStyle name="Currency 2 4" xfId="118" xr:uid="{00000000-0005-0000-0000-0000F3010000}"/>
    <cellStyle name="Currency 2 4 2" xfId="415" xr:uid="{00000000-0005-0000-0000-0000F4010000}"/>
    <cellStyle name="Currency 2 4 2 2" xfId="1059" xr:uid="{00000000-0005-0000-0000-0000F5010000}"/>
    <cellStyle name="Currency 2 4 3" xfId="831" xr:uid="{00000000-0005-0000-0000-0000F6010000}"/>
    <cellStyle name="Currency 2 5" xfId="214" xr:uid="{00000000-0005-0000-0000-0000F7010000}"/>
    <cellStyle name="Currency 2 5 2" xfId="884" xr:uid="{00000000-0005-0000-0000-0000F8010000}"/>
    <cellStyle name="Currency 2 6" xfId="285" xr:uid="{00000000-0005-0000-0000-0000F9010000}"/>
    <cellStyle name="Currency 2 6 2" xfId="942" xr:uid="{00000000-0005-0000-0000-0000FA010000}"/>
    <cellStyle name="Currency 2 7" xfId="523" xr:uid="{00000000-0005-0000-0000-0000FB010000}"/>
    <cellStyle name="Currency 2 7 2" xfId="1151" xr:uid="{00000000-0005-0000-0000-0000FC010000}"/>
    <cellStyle name="Currency 2 8" xfId="592" xr:uid="{00000000-0005-0000-0000-0000FD010000}"/>
    <cellStyle name="Currency 2 8 2" xfId="1208" xr:uid="{00000000-0005-0000-0000-0000FE010000}"/>
    <cellStyle name="Currency 2 9" xfId="650" xr:uid="{00000000-0005-0000-0000-0000FF010000}"/>
    <cellStyle name="Currency 2 9 2" xfId="1263" xr:uid="{00000000-0005-0000-0000-000000020000}"/>
    <cellStyle name="Currency 20" xfId="806" xr:uid="{00000000-0005-0000-0000-000001020000}"/>
    <cellStyle name="Currency 3" xfId="120" xr:uid="{00000000-0005-0000-0000-000002020000}"/>
    <cellStyle name="Currency 3 2" xfId="173" xr:uid="{00000000-0005-0000-0000-000003020000}"/>
    <cellStyle name="Currency 3 2 2" xfId="305" xr:uid="{00000000-0005-0000-0000-000004020000}"/>
    <cellStyle name="Currency 3 2 2 2" xfId="962" xr:uid="{00000000-0005-0000-0000-000005020000}"/>
    <cellStyle name="Currency 3 2 3" xfId="850" xr:uid="{00000000-0005-0000-0000-000006020000}"/>
    <cellStyle name="Currency 3 3" xfId="216" xr:uid="{00000000-0005-0000-0000-000007020000}"/>
    <cellStyle name="Currency 3 3 2" xfId="417" xr:uid="{00000000-0005-0000-0000-000008020000}"/>
    <cellStyle name="Currency 3 3 2 2" xfId="1061" xr:uid="{00000000-0005-0000-0000-000009020000}"/>
    <cellStyle name="Currency 3 3 3" xfId="886" xr:uid="{00000000-0005-0000-0000-00000A020000}"/>
    <cellStyle name="Currency 3 4" xfId="287" xr:uid="{00000000-0005-0000-0000-00000B020000}"/>
    <cellStyle name="Currency 3 4 2" xfId="944" xr:uid="{00000000-0005-0000-0000-00000C020000}"/>
    <cellStyle name="Currency 3 5" xfId="525" xr:uid="{00000000-0005-0000-0000-00000D020000}"/>
    <cellStyle name="Currency 3 5 2" xfId="1153" xr:uid="{00000000-0005-0000-0000-00000E020000}"/>
    <cellStyle name="Currency 3 6" xfId="594" xr:uid="{00000000-0005-0000-0000-00000F020000}"/>
    <cellStyle name="Currency 3 6 2" xfId="1210" xr:uid="{00000000-0005-0000-0000-000010020000}"/>
    <cellStyle name="Currency 3 7" xfId="652" xr:uid="{00000000-0005-0000-0000-000011020000}"/>
    <cellStyle name="Currency 3 7 2" xfId="1265" xr:uid="{00000000-0005-0000-0000-000012020000}"/>
    <cellStyle name="Currency 3 8" xfId="833" xr:uid="{00000000-0005-0000-0000-000013020000}"/>
    <cellStyle name="Currency 3 9" xfId="791" xr:uid="{00000000-0005-0000-0000-000014020000}"/>
    <cellStyle name="Currency 4" xfId="138" xr:uid="{00000000-0005-0000-0000-000015020000}"/>
    <cellStyle name="Currency 4 2" xfId="174" xr:uid="{00000000-0005-0000-0000-000016020000}"/>
    <cellStyle name="Currency 4 2 2" xfId="306" xr:uid="{00000000-0005-0000-0000-000017020000}"/>
    <cellStyle name="Currency 4 2 2 2" xfId="963" xr:uid="{00000000-0005-0000-0000-000018020000}"/>
    <cellStyle name="Currency 4 2 3" xfId="851" xr:uid="{00000000-0005-0000-0000-000019020000}"/>
    <cellStyle name="Currency 4 3" xfId="195" xr:uid="{00000000-0005-0000-0000-00001A020000}"/>
    <cellStyle name="Currency 4 3 2" xfId="418" xr:uid="{00000000-0005-0000-0000-00001B020000}"/>
    <cellStyle name="Currency 4 3 2 2" xfId="1062" xr:uid="{00000000-0005-0000-0000-00001C020000}"/>
    <cellStyle name="Currency 4 3 3" xfId="865" xr:uid="{00000000-0005-0000-0000-00001D020000}"/>
    <cellStyle name="Currency 4 4" xfId="220" xr:uid="{00000000-0005-0000-0000-00001E020000}"/>
    <cellStyle name="Currency 4 4 2" xfId="890" xr:uid="{00000000-0005-0000-0000-00001F020000}"/>
    <cellStyle name="Currency 4 5" xfId="291" xr:uid="{00000000-0005-0000-0000-000020020000}"/>
    <cellStyle name="Currency 4 5 2" xfId="948" xr:uid="{00000000-0005-0000-0000-000021020000}"/>
    <cellStyle name="Currency 4 6" xfId="526" xr:uid="{00000000-0005-0000-0000-000022020000}"/>
    <cellStyle name="Currency 4 6 2" xfId="1154" xr:uid="{00000000-0005-0000-0000-000023020000}"/>
    <cellStyle name="Currency 4 7" xfId="595" xr:uid="{00000000-0005-0000-0000-000024020000}"/>
    <cellStyle name="Currency 4 7 2" xfId="1211" xr:uid="{00000000-0005-0000-0000-000025020000}"/>
    <cellStyle name="Currency 4 8" xfId="653" xr:uid="{00000000-0005-0000-0000-000026020000}"/>
    <cellStyle name="Currency 4 8 2" xfId="1266" xr:uid="{00000000-0005-0000-0000-000027020000}"/>
    <cellStyle name="Currency 4 9" xfId="836" xr:uid="{00000000-0005-0000-0000-000028020000}"/>
    <cellStyle name="Currency 5" xfId="168" xr:uid="{00000000-0005-0000-0000-000029020000}"/>
    <cellStyle name="Currency 5 2" xfId="223" xr:uid="{00000000-0005-0000-0000-00002A020000}"/>
    <cellStyle name="Currency 5 2 2" xfId="893" xr:uid="{00000000-0005-0000-0000-00002B020000}"/>
    <cellStyle name="Currency 5 3" xfId="300" xr:uid="{00000000-0005-0000-0000-00002C020000}"/>
    <cellStyle name="Currency 5 3 2" xfId="957" xr:uid="{00000000-0005-0000-0000-00002D020000}"/>
    <cellStyle name="Currency 5 4" xfId="845" xr:uid="{00000000-0005-0000-0000-00002E020000}"/>
    <cellStyle name="Currency 6" xfId="93" xr:uid="{00000000-0005-0000-0000-00002F020000}"/>
    <cellStyle name="Currency 6 2" xfId="234" xr:uid="{00000000-0005-0000-0000-000030020000}"/>
    <cellStyle name="Currency 6 2 2" xfId="429" xr:uid="{00000000-0005-0000-0000-000031020000}"/>
    <cellStyle name="Currency 6 2 2 2" xfId="1073" xr:uid="{00000000-0005-0000-0000-000032020000}"/>
    <cellStyle name="Currency 6 2 3" xfId="904" xr:uid="{00000000-0005-0000-0000-000033020000}"/>
    <cellStyle name="Currency 6 3" xfId="338" xr:uid="{00000000-0005-0000-0000-000034020000}"/>
    <cellStyle name="Currency 6 3 2" xfId="992" xr:uid="{00000000-0005-0000-0000-000035020000}"/>
    <cellStyle name="Currency 6 4" xfId="536" xr:uid="{00000000-0005-0000-0000-000036020000}"/>
    <cellStyle name="Currency 6 4 2" xfId="1164" xr:uid="{00000000-0005-0000-0000-000037020000}"/>
    <cellStyle name="Currency 6 5" xfId="605" xr:uid="{00000000-0005-0000-0000-000038020000}"/>
    <cellStyle name="Currency 6 5 2" xfId="1221" xr:uid="{00000000-0005-0000-0000-000039020000}"/>
    <cellStyle name="Currency 6 6" xfId="663" xr:uid="{00000000-0005-0000-0000-00003A020000}"/>
    <cellStyle name="Currency 6 6 2" xfId="1270" xr:uid="{00000000-0005-0000-0000-00003B020000}"/>
    <cellStyle name="Currency 6 7" xfId="827" xr:uid="{00000000-0005-0000-0000-00003C020000}"/>
    <cellStyle name="Currency 7" xfId="190" xr:uid="{00000000-0005-0000-0000-00003D020000}"/>
    <cellStyle name="Currency 7 2" xfId="193" xr:uid="{00000000-0005-0000-0000-00003E020000}"/>
    <cellStyle name="Currency 7 2 2" xfId="261" xr:uid="{00000000-0005-0000-0000-00003F020000}"/>
    <cellStyle name="Currency 7 2 2 2" xfId="921" xr:uid="{00000000-0005-0000-0000-000040020000}"/>
    <cellStyle name="Currency 7 2 3" xfId="454" xr:uid="{00000000-0005-0000-0000-000041020000}"/>
    <cellStyle name="Currency 7 2 3 2" xfId="1098" xr:uid="{00000000-0005-0000-0000-000042020000}"/>
    <cellStyle name="Currency 7 2 4" xfId="559" xr:uid="{00000000-0005-0000-0000-000043020000}"/>
    <cellStyle name="Currency 7 2 4 2" xfId="1187" xr:uid="{00000000-0005-0000-0000-000044020000}"/>
    <cellStyle name="Currency 7 2 5" xfId="628" xr:uid="{00000000-0005-0000-0000-000045020000}"/>
    <cellStyle name="Currency 7 2 5 2" xfId="1244" xr:uid="{00000000-0005-0000-0000-000046020000}"/>
    <cellStyle name="Currency 7 2 6" xfId="686" xr:uid="{00000000-0005-0000-0000-000047020000}"/>
    <cellStyle name="Currency 7 2 6 2" xfId="1283" xr:uid="{00000000-0005-0000-0000-000048020000}"/>
    <cellStyle name="Currency 7 2 7" xfId="863" xr:uid="{00000000-0005-0000-0000-000049020000}"/>
    <cellStyle name="Currency 7 3" xfId="238" xr:uid="{00000000-0005-0000-0000-00004A020000}"/>
    <cellStyle name="Currency 7 3 2" xfId="433" xr:uid="{00000000-0005-0000-0000-00004B020000}"/>
    <cellStyle name="Currency 7 3 2 2" xfId="1077" xr:uid="{00000000-0005-0000-0000-00004C020000}"/>
    <cellStyle name="Currency 7 3 3" xfId="908" xr:uid="{00000000-0005-0000-0000-00004D020000}"/>
    <cellStyle name="Currency 7 4" xfId="342" xr:uid="{00000000-0005-0000-0000-00004E020000}"/>
    <cellStyle name="Currency 7 4 2" xfId="996" xr:uid="{00000000-0005-0000-0000-00004F020000}"/>
    <cellStyle name="Currency 7 5" xfId="540" xr:uid="{00000000-0005-0000-0000-000050020000}"/>
    <cellStyle name="Currency 7 5 2" xfId="1168" xr:uid="{00000000-0005-0000-0000-000051020000}"/>
    <cellStyle name="Currency 7 6" xfId="609" xr:uid="{00000000-0005-0000-0000-000052020000}"/>
    <cellStyle name="Currency 7 6 2" xfId="1225" xr:uid="{00000000-0005-0000-0000-000053020000}"/>
    <cellStyle name="Currency 7 7" xfId="667" xr:uid="{00000000-0005-0000-0000-000054020000}"/>
    <cellStyle name="Currency 7 7 2" xfId="1272" xr:uid="{00000000-0005-0000-0000-000055020000}"/>
    <cellStyle name="Currency 7 8" xfId="861" xr:uid="{00000000-0005-0000-0000-000056020000}"/>
    <cellStyle name="Currency 8" xfId="197" xr:uid="{00000000-0005-0000-0000-000057020000}"/>
    <cellStyle name="Currency 8 2" xfId="250" xr:uid="{00000000-0005-0000-0000-000058020000}"/>
    <cellStyle name="Currency 8 2 2" xfId="254" xr:uid="{00000000-0005-0000-0000-000059020000}"/>
    <cellStyle name="Currency 8 2 2 2" xfId="449" xr:uid="{00000000-0005-0000-0000-00005A020000}"/>
    <cellStyle name="Currency 8 2 2 2 2" xfId="1093" xr:uid="{00000000-0005-0000-0000-00005B020000}"/>
    <cellStyle name="Currency 8 2 2 3" xfId="556" xr:uid="{00000000-0005-0000-0000-00005C020000}"/>
    <cellStyle name="Currency 8 2 2 3 2" xfId="1184" xr:uid="{00000000-0005-0000-0000-00005D020000}"/>
    <cellStyle name="Currency 8 2 2 4" xfId="625" xr:uid="{00000000-0005-0000-0000-00005E020000}"/>
    <cellStyle name="Currency 8 2 2 4 2" xfId="1241" xr:uid="{00000000-0005-0000-0000-00005F020000}"/>
    <cellStyle name="Currency 8 2 2 5" xfId="683" xr:uid="{00000000-0005-0000-0000-000060020000}"/>
    <cellStyle name="Currency 8 2 2 5 2" xfId="1280" xr:uid="{00000000-0005-0000-0000-000061020000}"/>
    <cellStyle name="Currency 8 2 2 6" xfId="916" xr:uid="{00000000-0005-0000-0000-000062020000}"/>
    <cellStyle name="Currency 8 2 3" xfId="445" xr:uid="{00000000-0005-0000-0000-000063020000}"/>
    <cellStyle name="Currency 8 2 3 2" xfId="1089" xr:uid="{00000000-0005-0000-0000-000064020000}"/>
    <cellStyle name="Currency 8 2 4" xfId="552" xr:uid="{00000000-0005-0000-0000-000065020000}"/>
    <cellStyle name="Currency 8 2 4 2" xfId="1180" xr:uid="{00000000-0005-0000-0000-000066020000}"/>
    <cellStyle name="Currency 8 2 5" xfId="621" xr:uid="{00000000-0005-0000-0000-000067020000}"/>
    <cellStyle name="Currency 8 2 5 2" xfId="1237" xr:uid="{00000000-0005-0000-0000-000068020000}"/>
    <cellStyle name="Currency 8 2 6" xfId="679" xr:uid="{00000000-0005-0000-0000-000069020000}"/>
    <cellStyle name="Currency 8 2 6 2" xfId="1278" xr:uid="{00000000-0005-0000-0000-00006A020000}"/>
    <cellStyle name="Currency 8 2 7" xfId="914" xr:uid="{00000000-0005-0000-0000-00006B020000}"/>
    <cellStyle name="Currency 8 3" xfId="242" xr:uid="{00000000-0005-0000-0000-00006C020000}"/>
    <cellStyle name="Currency 8 3 2" xfId="437" xr:uid="{00000000-0005-0000-0000-00006D020000}"/>
    <cellStyle name="Currency 8 3 2 2" xfId="1081" xr:uid="{00000000-0005-0000-0000-00006E020000}"/>
    <cellStyle name="Currency 8 3 3" xfId="910" xr:uid="{00000000-0005-0000-0000-00006F020000}"/>
    <cellStyle name="Currency 8 4" xfId="347" xr:uid="{00000000-0005-0000-0000-000070020000}"/>
    <cellStyle name="Currency 8 4 2" xfId="1001" xr:uid="{00000000-0005-0000-0000-000071020000}"/>
    <cellStyle name="Currency 8 5" xfId="544" xr:uid="{00000000-0005-0000-0000-000072020000}"/>
    <cellStyle name="Currency 8 5 2" xfId="1172" xr:uid="{00000000-0005-0000-0000-000073020000}"/>
    <cellStyle name="Currency 8 6" xfId="613" xr:uid="{00000000-0005-0000-0000-000074020000}"/>
    <cellStyle name="Currency 8 6 2" xfId="1229" xr:uid="{00000000-0005-0000-0000-000075020000}"/>
    <cellStyle name="Currency 8 7" xfId="671" xr:uid="{00000000-0005-0000-0000-000076020000}"/>
    <cellStyle name="Currency 8 7 2" xfId="1274" xr:uid="{00000000-0005-0000-0000-000077020000}"/>
    <cellStyle name="Currency 8 8" xfId="867" xr:uid="{00000000-0005-0000-0000-000078020000}"/>
    <cellStyle name="Currency 9" xfId="246" xr:uid="{00000000-0005-0000-0000-000079020000}"/>
    <cellStyle name="Currency 9 2" xfId="441" xr:uid="{00000000-0005-0000-0000-00007A020000}"/>
    <cellStyle name="Currency 9 2 2" xfId="1085" xr:uid="{00000000-0005-0000-0000-00007B020000}"/>
    <cellStyle name="Currency 9 3" xfId="388" xr:uid="{00000000-0005-0000-0000-00007C020000}"/>
    <cellStyle name="Currency 9 3 2" xfId="1035" xr:uid="{00000000-0005-0000-0000-00007D020000}"/>
    <cellStyle name="Currency 9 4" xfId="548" xr:uid="{00000000-0005-0000-0000-00007E020000}"/>
    <cellStyle name="Currency 9 4 2" xfId="1176" xr:uid="{00000000-0005-0000-0000-00007F020000}"/>
    <cellStyle name="Currency 9 5" xfId="617" xr:uid="{00000000-0005-0000-0000-000080020000}"/>
    <cellStyle name="Currency 9 5 2" xfId="1233" xr:uid="{00000000-0005-0000-0000-000081020000}"/>
    <cellStyle name="Currency 9 6" xfId="675" xr:uid="{00000000-0005-0000-0000-000082020000}"/>
    <cellStyle name="Currency 9 6 2" xfId="1276" xr:uid="{00000000-0005-0000-0000-000083020000}"/>
    <cellStyle name="Currency 9 7" xfId="912" xr:uid="{00000000-0005-0000-0000-000084020000}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Millares 2" xfId="741" xr:uid="{00000000-0005-0000-0000-00008F020000}"/>
    <cellStyle name="Millares 2 2" xfId="1311" xr:uid="{00000000-0005-0000-0000-000090020000}"/>
    <cellStyle name="Millares 3" xfId="748" xr:uid="{00000000-0005-0000-0000-000091020000}"/>
    <cellStyle name="Millares 4" xfId="767" xr:uid="{00000000-0005-0000-0000-000092020000}"/>
    <cellStyle name="Millares 5" xfId="1320" xr:uid="{00000000-0005-0000-0000-000093020000}"/>
    <cellStyle name="Millares 6" xfId="44" xr:uid="{00000000-0005-0000-0000-000094020000}"/>
    <cellStyle name="Moneda 2" xfId="740" xr:uid="{00000000-0005-0000-0000-000095020000}"/>
    <cellStyle name="Moneda 2 2" xfId="1312" xr:uid="{00000000-0005-0000-0000-000096020000}"/>
    <cellStyle name="Moneda 3" xfId="749" xr:uid="{00000000-0005-0000-0000-000097020000}"/>
    <cellStyle name="Moneda 4" xfId="755" xr:uid="{00000000-0005-0000-0000-000098020000}"/>
    <cellStyle name="Moneda 5" xfId="768" xr:uid="{00000000-0005-0000-0000-000099020000}"/>
    <cellStyle name="Moneda 6" xfId="1321" xr:uid="{00000000-0005-0000-0000-00009A020000}"/>
    <cellStyle name="Moneda 7" xfId="42" xr:uid="{00000000-0005-0000-0000-00009B020000}"/>
    <cellStyle name="Neutral" xfId="7" builtinId="28" customBuiltin="1"/>
    <cellStyle name="Normal" xfId="0" builtinId="0"/>
    <cellStyle name="Normal 10" xfId="90" xr:uid="{00000000-0005-0000-0000-00009E020000}"/>
    <cellStyle name="Normal 10 2" xfId="145" xr:uid="{00000000-0005-0000-0000-00009F020000}"/>
    <cellStyle name="Normal 100" xfId="396" xr:uid="{00000000-0005-0000-0000-0000A0020000}"/>
    <cellStyle name="Normal 100 2" xfId="1041" xr:uid="{00000000-0005-0000-0000-0000A1020000}"/>
    <cellStyle name="Normal 101" xfId="399" xr:uid="{00000000-0005-0000-0000-0000A2020000}"/>
    <cellStyle name="Normal 101 2" xfId="1043" xr:uid="{00000000-0005-0000-0000-0000A3020000}"/>
    <cellStyle name="Normal 102" xfId="401" xr:uid="{00000000-0005-0000-0000-0000A4020000}"/>
    <cellStyle name="Normal 102 2" xfId="1045" xr:uid="{00000000-0005-0000-0000-0000A5020000}"/>
    <cellStyle name="Normal 103" xfId="403" xr:uid="{00000000-0005-0000-0000-0000A6020000}"/>
    <cellStyle name="Normal 103 2" xfId="1047" xr:uid="{00000000-0005-0000-0000-0000A7020000}"/>
    <cellStyle name="Normal 104" xfId="405" xr:uid="{00000000-0005-0000-0000-0000A8020000}"/>
    <cellStyle name="Normal 104 2" xfId="1049" xr:uid="{00000000-0005-0000-0000-0000A9020000}"/>
    <cellStyle name="Normal 105" xfId="406" xr:uid="{00000000-0005-0000-0000-0000AA020000}"/>
    <cellStyle name="Normal 105 2" xfId="1050" xr:uid="{00000000-0005-0000-0000-0000AB020000}"/>
    <cellStyle name="Normal 106" xfId="471" xr:uid="{00000000-0005-0000-0000-0000AC020000}"/>
    <cellStyle name="Normal 106 2" xfId="1102" xr:uid="{00000000-0005-0000-0000-0000AD020000}"/>
    <cellStyle name="Normal 107" xfId="472" xr:uid="{00000000-0005-0000-0000-0000AE020000}"/>
    <cellStyle name="Normal 107 2" xfId="1103" xr:uid="{00000000-0005-0000-0000-0000AF020000}"/>
    <cellStyle name="Normal 108" xfId="473" xr:uid="{00000000-0005-0000-0000-0000B0020000}"/>
    <cellStyle name="Normal 108 2" xfId="1104" xr:uid="{00000000-0005-0000-0000-0000B1020000}"/>
    <cellStyle name="Normal 109" xfId="474" xr:uid="{00000000-0005-0000-0000-0000B2020000}"/>
    <cellStyle name="Normal 109 2" xfId="1105" xr:uid="{00000000-0005-0000-0000-0000B3020000}"/>
    <cellStyle name="Normal 11" xfId="91" xr:uid="{00000000-0005-0000-0000-0000B4020000}"/>
    <cellStyle name="Normal 11 2" xfId="146" xr:uid="{00000000-0005-0000-0000-0000B5020000}"/>
    <cellStyle name="Normal 110" xfId="475" xr:uid="{00000000-0005-0000-0000-0000B6020000}"/>
    <cellStyle name="Normal 110 2" xfId="1106" xr:uid="{00000000-0005-0000-0000-0000B7020000}"/>
    <cellStyle name="Normal 111" xfId="477" xr:uid="{00000000-0005-0000-0000-0000B8020000}"/>
    <cellStyle name="Normal 111 2" xfId="1108" xr:uid="{00000000-0005-0000-0000-0000B9020000}"/>
    <cellStyle name="Normal 112" xfId="478" xr:uid="{00000000-0005-0000-0000-0000BA020000}"/>
    <cellStyle name="Normal 112 2" xfId="1109" xr:uid="{00000000-0005-0000-0000-0000BB020000}"/>
    <cellStyle name="Normal 113" xfId="479" xr:uid="{00000000-0005-0000-0000-0000BC020000}"/>
    <cellStyle name="Normal 113 2" xfId="1110" xr:uid="{00000000-0005-0000-0000-0000BD020000}"/>
    <cellStyle name="Normal 114" xfId="484" xr:uid="{00000000-0005-0000-0000-0000BE020000}"/>
    <cellStyle name="Normal 114 2" xfId="1115" xr:uid="{00000000-0005-0000-0000-0000BF020000}"/>
    <cellStyle name="Normal 115" xfId="485" xr:uid="{00000000-0005-0000-0000-0000C0020000}"/>
    <cellStyle name="Normal 115 2" xfId="1116" xr:uid="{00000000-0005-0000-0000-0000C1020000}"/>
    <cellStyle name="Normal 116" xfId="489" xr:uid="{00000000-0005-0000-0000-0000C2020000}"/>
    <cellStyle name="Normal 117" xfId="490" xr:uid="{00000000-0005-0000-0000-0000C3020000}"/>
    <cellStyle name="Normal 117 2" xfId="1120" xr:uid="{00000000-0005-0000-0000-0000C4020000}"/>
    <cellStyle name="Normal 118" xfId="491" xr:uid="{00000000-0005-0000-0000-0000C5020000}"/>
    <cellStyle name="Normal 118 2" xfId="1121" xr:uid="{00000000-0005-0000-0000-0000C6020000}"/>
    <cellStyle name="Normal 119" xfId="492" xr:uid="{00000000-0005-0000-0000-0000C7020000}"/>
    <cellStyle name="Normal 119 2" xfId="1122" xr:uid="{00000000-0005-0000-0000-0000C8020000}"/>
    <cellStyle name="Normal 12" xfId="92" xr:uid="{00000000-0005-0000-0000-0000C9020000}"/>
    <cellStyle name="Normal 12 2" xfId="147" xr:uid="{00000000-0005-0000-0000-0000CA020000}"/>
    <cellStyle name="Normal 120" xfId="493" xr:uid="{00000000-0005-0000-0000-0000CB020000}"/>
    <cellStyle name="Normal 120 2" xfId="1123" xr:uid="{00000000-0005-0000-0000-0000CC020000}"/>
    <cellStyle name="Normal 121" xfId="494" xr:uid="{00000000-0005-0000-0000-0000CD020000}"/>
    <cellStyle name="Normal 121 2" xfId="1124" xr:uid="{00000000-0005-0000-0000-0000CE020000}"/>
    <cellStyle name="Normal 122" xfId="495" xr:uid="{00000000-0005-0000-0000-0000CF020000}"/>
    <cellStyle name="Normal 122 2" xfId="1125" xr:uid="{00000000-0005-0000-0000-0000D0020000}"/>
    <cellStyle name="Normal 123" xfId="496" xr:uid="{00000000-0005-0000-0000-0000D1020000}"/>
    <cellStyle name="Normal 123 2" xfId="1126" xr:uid="{00000000-0005-0000-0000-0000D2020000}"/>
    <cellStyle name="Normal 124" xfId="497" xr:uid="{00000000-0005-0000-0000-0000D3020000}"/>
    <cellStyle name="Normal 125" xfId="498" xr:uid="{00000000-0005-0000-0000-0000D4020000}"/>
    <cellStyle name="Normal 125 2" xfId="1127" xr:uid="{00000000-0005-0000-0000-0000D5020000}"/>
    <cellStyle name="Normal 126" xfId="499" xr:uid="{00000000-0005-0000-0000-0000D6020000}"/>
    <cellStyle name="Normal 126 2" xfId="1128" xr:uid="{00000000-0005-0000-0000-0000D7020000}"/>
    <cellStyle name="Normal 127" xfId="500" xr:uid="{00000000-0005-0000-0000-0000D8020000}"/>
    <cellStyle name="Normal 127 2" xfId="1129" xr:uid="{00000000-0005-0000-0000-0000D9020000}"/>
    <cellStyle name="Normal 128" xfId="501" xr:uid="{00000000-0005-0000-0000-0000DA020000}"/>
    <cellStyle name="Normal 128 2" xfId="1130" xr:uid="{00000000-0005-0000-0000-0000DB020000}"/>
    <cellStyle name="Normal 129" xfId="502" xr:uid="{00000000-0005-0000-0000-0000DC020000}"/>
    <cellStyle name="Normal 129 2" xfId="1131" xr:uid="{00000000-0005-0000-0000-0000DD020000}"/>
    <cellStyle name="Normal 13" xfId="96" xr:uid="{00000000-0005-0000-0000-0000DE020000}"/>
    <cellStyle name="Normal 130" xfId="503" xr:uid="{00000000-0005-0000-0000-0000DF020000}"/>
    <cellStyle name="Normal 130 2" xfId="1132" xr:uid="{00000000-0005-0000-0000-0000E0020000}"/>
    <cellStyle name="Normal 131" xfId="504" xr:uid="{00000000-0005-0000-0000-0000E1020000}"/>
    <cellStyle name="Normal 131 2" xfId="1133" xr:uid="{00000000-0005-0000-0000-0000E2020000}"/>
    <cellStyle name="Normal 132" xfId="505" xr:uid="{00000000-0005-0000-0000-0000E3020000}"/>
    <cellStyle name="Normal 132 2" xfId="1134" xr:uid="{00000000-0005-0000-0000-0000E4020000}"/>
    <cellStyle name="Normal 133" xfId="506" xr:uid="{00000000-0005-0000-0000-0000E5020000}"/>
    <cellStyle name="Normal 133 2" xfId="1135" xr:uid="{00000000-0005-0000-0000-0000E6020000}"/>
    <cellStyle name="Normal 134" xfId="507" xr:uid="{00000000-0005-0000-0000-0000E7020000}"/>
    <cellStyle name="Normal 135" xfId="508" xr:uid="{00000000-0005-0000-0000-0000E8020000}"/>
    <cellStyle name="Normal 135 2" xfId="1136" xr:uid="{00000000-0005-0000-0000-0000E9020000}"/>
    <cellStyle name="Normal 136" xfId="509" xr:uid="{00000000-0005-0000-0000-0000EA020000}"/>
    <cellStyle name="Normal 136 2" xfId="1137" xr:uid="{00000000-0005-0000-0000-0000EB020000}"/>
    <cellStyle name="Normal 137" xfId="510" xr:uid="{00000000-0005-0000-0000-0000EC020000}"/>
    <cellStyle name="Normal 137 2" xfId="1138" xr:uid="{00000000-0005-0000-0000-0000ED020000}"/>
    <cellStyle name="Normal 138" xfId="710" xr:uid="{00000000-0005-0000-0000-0000EE020000}"/>
    <cellStyle name="Normal 138 2" xfId="1296" xr:uid="{00000000-0005-0000-0000-0000EF020000}"/>
    <cellStyle name="Normal 139" xfId="715" xr:uid="{00000000-0005-0000-0000-0000F0020000}"/>
    <cellStyle name="Normal 139 2" xfId="1304" xr:uid="{00000000-0005-0000-0000-0000F1020000}"/>
    <cellStyle name="Normal 139 3" xfId="805" xr:uid="{00000000-0005-0000-0000-0000F2020000}"/>
    <cellStyle name="Normal 14" xfId="97" xr:uid="{00000000-0005-0000-0000-0000F3020000}"/>
    <cellStyle name="Normal 14 2" xfId="98" xr:uid="{00000000-0005-0000-0000-0000F4020000}"/>
    <cellStyle name="Normal 140" xfId="726" xr:uid="{00000000-0005-0000-0000-0000F5020000}"/>
    <cellStyle name="Normal 140 2" xfId="1305" xr:uid="{00000000-0005-0000-0000-0000F6020000}"/>
    <cellStyle name="Normal 141" xfId="747" xr:uid="{00000000-0005-0000-0000-0000F7020000}"/>
    <cellStyle name="Normal 142" xfId="766" xr:uid="{00000000-0005-0000-0000-0000F8020000}"/>
    <cellStyle name="Normal 143" xfId="1319" xr:uid="{00000000-0005-0000-0000-0000F9020000}"/>
    <cellStyle name="Normal 144" xfId="40" xr:uid="{00000000-0005-0000-0000-0000FA020000}"/>
    <cellStyle name="Normal 15" xfId="99" xr:uid="{00000000-0005-0000-0000-0000FB020000}"/>
    <cellStyle name="Normal 16" xfId="100" xr:uid="{00000000-0005-0000-0000-0000FC020000}"/>
    <cellStyle name="Normal 17" xfId="101" xr:uid="{00000000-0005-0000-0000-0000FD020000}"/>
    <cellStyle name="Normal 18" xfId="102" xr:uid="{00000000-0005-0000-0000-0000FE020000}"/>
    <cellStyle name="Normal 19" xfId="103" xr:uid="{00000000-0005-0000-0000-0000FF020000}"/>
    <cellStyle name="Normal 2" xfId="41" xr:uid="{00000000-0005-0000-0000-000000030000}"/>
    <cellStyle name="Normal 2 2" xfId="51" xr:uid="{00000000-0005-0000-0000-000001030000}"/>
    <cellStyle name="Normal 2 2 2" xfId="53" xr:uid="{00000000-0005-0000-0000-000002030000}"/>
    <cellStyle name="Normal 2 2 3" xfId="68" xr:uid="{00000000-0005-0000-0000-000003030000}"/>
    <cellStyle name="Normal 2 2 4" xfId="69" xr:uid="{00000000-0005-0000-0000-000004030000}"/>
    <cellStyle name="Normal 2 2 5" xfId="70" xr:uid="{00000000-0005-0000-0000-000005030000}"/>
    <cellStyle name="Normal 2 2 5 2" xfId="201" xr:uid="{00000000-0005-0000-0000-000006030000}"/>
    <cellStyle name="Normal 2 2 5 2 2" xfId="871" xr:uid="{00000000-0005-0000-0000-000007030000}"/>
    <cellStyle name="Normal 2 2 5 3" xfId="271" xr:uid="{00000000-0005-0000-0000-000008030000}"/>
    <cellStyle name="Normal 2 2 5 3 2" xfId="928" xr:uid="{00000000-0005-0000-0000-000009030000}"/>
    <cellStyle name="Normal 2 2 5 4" xfId="818" xr:uid="{00000000-0005-0000-0000-00000A030000}"/>
    <cellStyle name="Normal 2 2 6" xfId="104" xr:uid="{00000000-0005-0000-0000-00000B030000}"/>
    <cellStyle name="Normal 2 3" xfId="66" xr:uid="{00000000-0005-0000-0000-00000C030000}"/>
    <cellStyle name="Normal 2 3 2" xfId="71" xr:uid="{00000000-0005-0000-0000-00000D030000}"/>
    <cellStyle name="Normal 2 3 3" xfId="72" xr:uid="{00000000-0005-0000-0000-00000E030000}"/>
    <cellStyle name="Normal 2 3 4" xfId="73" xr:uid="{00000000-0005-0000-0000-00000F030000}"/>
    <cellStyle name="Normal 2 3 5" xfId="74" xr:uid="{00000000-0005-0000-0000-000010030000}"/>
    <cellStyle name="Normal 2 3 5 2" xfId="202" xr:uid="{00000000-0005-0000-0000-000011030000}"/>
    <cellStyle name="Normal 2 3 5 2 2" xfId="872" xr:uid="{00000000-0005-0000-0000-000012030000}"/>
    <cellStyle name="Normal 2 3 5 3" xfId="272" xr:uid="{00000000-0005-0000-0000-000013030000}"/>
    <cellStyle name="Normal 2 3 5 3 2" xfId="929" xr:uid="{00000000-0005-0000-0000-000014030000}"/>
    <cellStyle name="Normal 2 3 5 4" xfId="819" xr:uid="{00000000-0005-0000-0000-000015030000}"/>
    <cellStyle name="Normal 2 4" xfId="75" xr:uid="{00000000-0005-0000-0000-000016030000}"/>
    <cellStyle name="Normal 2 4 2" xfId="76" xr:uid="{00000000-0005-0000-0000-000017030000}"/>
    <cellStyle name="Normal 2 4 2 2" xfId="204" xr:uid="{00000000-0005-0000-0000-000018030000}"/>
    <cellStyle name="Normal 2 4 2 2 2" xfId="874" xr:uid="{00000000-0005-0000-0000-000019030000}"/>
    <cellStyle name="Normal 2 4 2 3" xfId="274" xr:uid="{00000000-0005-0000-0000-00001A030000}"/>
    <cellStyle name="Normal 2 4 2 3 2" xfId="931" xr:uid="{00000000-0005-0000-0000-00001B030000}"/>
    <cellStyle name="Normal 2 4 2 4" xfId="821" xr:uid="{00000000-0005-0000-0000-00001C030000}"/>
    <cellStyle name="Normal 2 4 3" xfId="203" xr:uid="{00000000-0005-0000-0000-00001D030000}"/>
    <cellStyle name="Normal 2 4 3 2" xfId="873" xr:uid="{00000000-0005-0000-0000-00001E030000}"/>
    <cellStyle name="Normal 2 4 4" xfId="273" xr:uid="{00000000-0005-0000-0000-00001F030000}"/>
    <cellStyle name="Normal 2 4 4 2" xfId="930" xr:uid="{00000000-0005-0000-0000-000020030000}"/>
    <cellStyle name="Normal 2 4 5" xfId="820" xr:uid="{00000000-0005-0000-0000-000021030000}"/>
    <cellStyle name="Normal 2 5" xfId="77" xr:uid="{00000000-0005-0000-0000-000022030000}"/>
    <cellStyle name="Normal 2 6" xfId="78" xr:uid="{00000000-0005-0000-0000-000023030000}"/>
    <cellStyle name="Normal 2 7" xfId="79" xr:uid="{00000000-0005-0000-0000-000024030000}"/>
    <cellStyle name="Normal 2 8" xfId="105" xr:uid="{00000000-0005-0000-0000-000025030000}"/>
    <cellStyle name="Normal 2 8 2" xfId="124" xr:uid="{00000000-0005-0000-0000-000026030000}"/>
    <cellStyle name="Normal 20" xfId="106" xr:uid="{00000000-0005-0000-0000-000027030000}"/>
    <cellStyle name="Normal 21" xfId="107" xr:uid="{00000000-0005-0000-0000-000028030000}"/>
    <cellStyle name="Normal 21 2" xfId="150" xr:uid="{00000000-0005-0000-0000-000029030000}"/>
    <cellStyle name="Normal 22" xfId="108" xr:uid="{00000000-0005-0000-0000-00002A030000}"/>
    <cellStyle name="Normal 22 2" xfId="151" xr:uid="{00000000-0005-0000-0000-00002B030000}"/>
    <cellStyle name="Normal 23" xfId="109" xr:uid="{00000000-0005-0000-0000-00002C030000}"/>
    <cellStyle name="Normal 23 2" xfId="152" xr:uid="{00000000-0005-0000-0000-00002D030000}"/>
    <cellStyle name="Normal 24" xfId="110" xr:uid="{00000000-0005-0000-0000-00002E030000}"/>
    <cellStyle name="Normal 24 2" xfId="153" xr:uid="{00000000-0005-0000-0000-00002F030000}"/>
    <cellStyle name="Normal 25" xfId="111" xr:uid="{00000000-0005-0000-0000-000030030000}"/>
    <cellStyle name="Normal 25 2" xfId="154" xr:uid="{00000000-0005-0000-0000-000031030000}"/>
    <cellStyle name="Normal 26" xfId="112" xr:uid="{00000000-0005-0000-0000-000032030000}"/>
    <cellStyle name="Normal 26 2" xfId="155" xr:uid="{00000000-0005-0000-0000-000033030000}"/>
    <cellStyle name="Normal 27" xfId="113" xr:uid="{00000000-0005-0000-0000-000034030000}"/>
    <cellStyle name="Normal 27 2" xfId="156" xr:uid="{00000000-0005-0000-0000-000035030000}"/>
    <cellStyle name="Normal 28" xfId="116" xr:uid="{00000000-0005-0000-0000-000036030000}"/>
    <cellStyle name="Normal 28 2" xfId="157" xr:uid="{00000000-0005-0000-0000-000037030000}"/>
    <cellStyle name="Normal 29" xfId="117" xr:uid="{00000000-0005-0000-0000-000038030000}"/>
    <cellStyle name="Normal 29 2" xfId="158" xr:uid="{00000000-0005-0000-0000-000039030000}"/>
    <cellStyle name="Normal 3" xfId="55" xr:uid="{00000000-0005-0000-0000-00003A030000}"/>
    <cellStyle name="Normal 3 2" xfId="59" xr:uid="{00000000-0005-0000-0000-00003B030000}"/>
    <cellStyle name="Normal 3 3" xfId="125" xr:uid="{00000000-0005-0000-0000-00003C030000}"/>
    <cellStyle name="Normal 3 3 2" xfId="217" xr:uid="{00000000-0005-0000-0000-00003D030000}"/>
    <cellStyle name="Normal 3 3 2 2" xfId="887" xr:uid="{00000000-0005-0000-0000-00003E030000}"/>
    <cellStyle name="Normal 3 3 3" xfId="288" xr:uid="{00000000-0005-0000-0000-00003F030000}"/>
    <cellStyle name="Normal 3 3 3 2" xfId="945" xr:uid="{00000000-0005-0000-0000-000040030000}"/>
    <cellStyle name="Normal 3 3 4" xfId="751" xr:uid="{00000000-0005-0000-0000-000041030000}"/>
    <cellStyle name="Normal 3 3 5" xfId="757" xr:uid="{00000000-0005-0000-0000-000042030000}"/>
    <cellStyle name="Normal 3 3 6" xfId="778" xr:uid="{00000000-0005-0000-0000-000043030000}"/>
    <cellStyle name="Normal 3 3 7" xfId="1323" xr:uid="{00000000-0005-0000-0000-000044030000}"/>
    <cellStyle name="Normal 3 3 8" xfId="1328" xr:uid="{00000000-0005-0000-0000-000045030000}"/>
    <cellStyle name="Normal 3 3 9" xfId="1333" xr:uid="{00000000-0005-0000-0000-000046030000}"/>
    <cellStyle name="Normal 30" xfId="121" xr:uid="{00000000-0005-0000-0000-000047030000}"/>
    <cellStyle name="Normal 30 2" xfId="159" xr:uid="{00000000-0005-0000-0000-000048030000}"/>
    <cellStyle name="Normal 31" xfId="122" xr:uid="{00000000-0005-0000-0000-000049030000}"/>
    <cellStyle name="Normal 31 2" xfId="160" xr:uid="{00000000-0005-0000-0000-00004A030000}"/>
    <cellStyle name="Normal 32" xfId="126" xr:uid="{00000000-0005-0000-0000-00004B030000}"/>
    <cellStyle name="Normal 33" xfId="127" xr:uid="{00000000-0005-0000-0000-00004C030000}"/>
    <cellStyle name="Normal 34" xfId="128" xr:uid="{00000000-0005-0000-0000-00004D030000}"/>
    <cellStyle name="Normal 35" xfId="129" xr:uid="{00000000-0005-0000-0000-00004E030000}"/>
    <cellStyle name="Normal 36" xfId="130" xr:uid="{00000000-0005-0000-0000-00004F030000}"/>
    <cellStyle name="Normal 37" xfId="133" xr:uid="{00000000-0005-0000-0000-000050030000}"/>
    <cellStyle name="Normal 37 2" xfId="161" xr:uid="{00000000-0005-0000-0000-000051030000}"/>
    <cellStyle name="Normal 38" xfId="134" xr:uid="{00000000-0005-0000-0000-000052030000}"/>
    <cellStyle name="Normal 39" xfId="135" xr:uid="{00000000-0005-0000-0000-000053030000}"/>
    <cellStyle name="Normal 4" xfId="48" xr:uid="{00000000-0005-0000-0000-000054030000}"/>
    <cellStyle name="Normal 4 2" xfId="131" xr:uid="{00000000-0005-0000-0000-000055030000}"/>
    <cellStyle name="Normal 4 2 2" xfId="49" xr:uid="{00000000-0005-0000-0000-000056030000}"/>
    <cellStyle name="Normal 4 3" xfId="50" xr:uid="{00000000-0005-0000-0000-000057030000}"/>
    <cellStyle name="Normal 4 4" xfId="67" xr:uid="{00000000-0005-0000-0000-000058030000}"/>
    <cellStyle name="Normal 40" xfId="136" xr:uid="{00000000-0005-0000-0000-000059030000}"/>
    <cellStyle name="Normal 41" xfId="137" xr:uid="{00000000-0005-0000-0000-00005A030000}"/>
    <cellStyle name="Normal 42" xfId="176" xr:uid="{00000000-0005-0000-0000-00005B030000}"/>
    <cellStyle name="Normal 42 2" xfId="225" xr:uid="{00000000-0005-0000-0000-00005C030000}"/>
    <cellStyle name="Normal 42 2 2" xfId="421" xr:uid="{00000000-0005-0000-0000-00005D030000}"/>
    <cellStyle name="Normal 42 2 2 2" xfId="1065" xr:uid="{00000000-0005-0000-0000-00005E030000}"/>
    <cellStyle name="Normal 42 2 3" xfId="895" xr:uid="{00000000-0005-0000-0000-00005F030000}"/>
    <cellStyle name="Normal 42 3" xfId="308" xr:uid="{00000000-0005-0000-0000-000060030000}"/>
    <cellStyle name="Normal 42 3 2" xfId="965" xr:uid="{00000000-0005-0000-0000-000061030000}"/>
    <cellStyle name="Normal 42 4" xfId="528" xr:uid="{00000000-0005-0000-0000-000062030000}"/>
    <cellStyle name="Normal 42 4 2" xfId="1156" xr:uid="{00000000-0005-0000-0000-000063030000}"/>
    <cellStyle name="Normal 42 5" xfId="597" xr:uid="{00000000-0005-0000-0000-000064030000}"/>
    <cellStyle name="Normal 42 5 2" xfId="1213" xr:uid="{00000000-0005-0000-0000-000065030000}"/>
    <cellStyle name="Normal 42 6" xfId="655" xr:uid="{00000000-0005-0000-0000-000066030000}"/>
    <cellStyle name="Normal 43" xfId="178" xr:uid="{00000000-0005-0000-0000-000067030000}"/>
    <cellStyle name="Normal 43 2" xfId="226" xr:uid="{00000000-0005-0000-0000-000068030000}"/>
    <cellStyle name="Normal 43 2 2" xfId="422" xr:uid="{00000000-0005-0000-0000-000069030000}"/>
    <cellStyle name="Normal 43 2 2 2" xfId="1066" xr:uid="{00000000-0005-0000-0000-00006A030000}"/>
    <cellStyle name="Normal 43 2 3" xfId="896" xr:uid="{00000000-0005-0000-0000-00006B030000}"/>
    <cellStyle name="Normal 43 3" xfId="310" xr:uid="{00000000-0005-0000-0000-00006C030000}"/>
    <cellStyle name="Normal 43 3 2" xfId="967" xr:uid="{00000000-0005-0000-0000-00006D030000}"/>
    <cellStyle name="Normal 43 4" xfId="529" xr:uid="{00000000-0005-0000-0000-00006E030000}"/>
    <cellStyle name="Normal 43 4 2" xfId="1157" xr:uid="{00000000-0005-0000-0000-00006F030000}"/>
    <cellStyle name="Normal 43 5" xfId="598" xr:uid="{00000000-0005-0000-0000-000070030000}"/>
    <cellStyle name="Normal 43 5 2" xfId="1214" xr:uid="{00000000-0005-0000-0000-000071030000}"/>
    <cellStyle name="Normal 43 6" xfId="656" xr:uid="{00000000-0005-0000-0000-000072030000}"/>
    <cellStyle name="Normal 44" xfId="180" xr:uid="{00000000-0005-0000-0000-000073030000}"/>
    <cellStyle name="Normal 44 2" xfId="247" xr:uid="{00000000-0005-0000-0000-000074030000}"/>
    <cellStyle name="Normal 44 2 2" xfId="442" xr:uid="{00000000-0005-0000-0000-000075030000}"/>
    <cellStyle name="Normal 44 2 2 2" xfId="1086" xr:uid="{00000000-0005-0000-0000-000076030000}"/>
    <cellStyle name="Normal 44 2 3" xfId="549" xr:uid="{00000000-0005-0000-0000-000077030000}"/>
    <cellStyle name="Normal 44 2 3 2" xfId="1177" xr:uid="{00000000-0005-0000-0000-000078030000}"/>
    <cellStyle name="Normal 44 2 4" xfId="618" xr:uid="{00000000-0005-0000-0000-000079030000}"/>
    <cellStyle name="Normal 44 2 4 2" xfId="1234" xr:uid="{00000000-0005-0000-0000-00007A030000}"/>
    <cellStyle name="Normal 44 2 5" xfId="676" xr:uid="{00000000-0005-0000-0000-00007B030000}"/>
    <cellStyle name="Normal 44 3" xfId="229" xr:uid="{00000000-0005-0000-0000-00007C030000}"/>
    <cellStyle name="Normal 44 3 2" xfId="424" xr:uid="{00000000-0005-0000-0000-00007D030000}"/>
    <cellStyle name="Normal 44 3 2 2" xfId="1068" xr:uid="{00000000-0005-0000-0000-00007E030000}"/>
    <cellStyle name="Normal 44 3 3" xfId="899" xr:uid="{00000000-0005-0000-0000-00007F030000}"/>
    <cellStyle name="Normal 44 4" xfId="312" xr:uid="{00000000-0005-0000-0000-000080030000}"/>
    <cellStyle name="Normal 44 4 2" xfId="969" xr:uid="{00000000-0005-0000-0000-000081030000}"/>
    <cellStyle name="Normal 44 5" xfId="531" xr:uid="{00000000-0005-0000-0000-000082030000}"/>
    <cellStyle name="Normal 44 5 2" xfId="1159" xr:uid="{00000000-0005-0000-0000-000083030000}"/>
    <cellStyle name="Normal 44 6" xfId="600" xr:uid="{00000000-0005-0000-0000-000084030000}"/>
    <cellStyle name="Normal 44 6 2" xfId="1216" xr:uid="{00000000-0005-0000-0000-000085030000}"/>
    <cellStyle name="Normal 44 7" xfId="658" xr:uid="{00000000-0005-0000-0000-000086030000}"/>
    <cellStyle name="Normal 45" xfId="181" xr:uid="{00000000-0005-0000-0000-000087030000}"/>
    <cellStyle name="Normal 45 2" xfId="230" xr:uid="{00000000-0005-0000-0000-000088030000}"/>
    <cellStyle name="Normal 45 2 2" xfId="425" xr:uid="{00000000-0005-0000-0000-000089030000}"/>
    <cellStyle name="Normal 45 2 2 2" xfId="1069" xr:uid="{00000000-0005-0000-0000-00008A030000}"/>
    <cellStyle name="Normal 45 2 3" xfId="900" xr:uid="{00000000-0005-0000-0000-00008B030000}"/>
    <cellStyle name="Normal 45 3" xfId="313" xr:uid="{00000000-0005-0000-0000-00008C030000}"/>
    <cellStyle name="Normal 45 3 2" xfId="970" xr:uid="{00000000-0005-0000-0000-00008D030000}"/>
    <cellStyle name="Normal 45 4" xfId="532" xr:uid="{00000000-0005-0000-0000-00008E030000}"/>
    <cellStyle name="Normal 45 4 2" xfId="1160" xr:uid="{00000000-0005-0000-0000-00008F030000}"/>
    <cellStyle name="Normal 45 5" xfId="601" xr:uid="{00000000-0005-0000-0000-000090030000}"/>
    <cellStyle name="Normal 45 5 2" xfId="1217" xr:uid="{00000000-0005-0000-0000-000091030000}"/>
    <cellStyle name="Normal 45 6" xfId="659" xr:uid="{00000000-0005-0000-0000-000092030000}"/>
    <cellStyle name="Normal 46" xfId="182" xr:uid="{00000000-0005-0000-0000-000093030000}"/>
    <cellStyle name="Normal 46 2" xfId="231" xr:uid="{00000000-0005-0000-0000-000094030000}"/>
    <cellStyle name="Normal 46 2 2" xfId="426" xr:uid="{00000000-0005-0000-0000-000095030000}"/>
    <cellStyle name="Normal 46 2 2 2" xfId="1070" xr:uid="{00000000-0005-0000-0000-000096030000}"/>
    <cellStyle name="Normal 46 2 3" xfId="901" xr:uid="{00000000-0005-0000-0000-000097030000}"/>
    <cellStyle name="Normal 46 3" xfId="314" xr:uid="{00000000-0005-0000-0000-000098030000}"/>
    <cellStyle name="Normal 46 3 2" xfId="971" xr:uid="{00000000-0005-0000-0000-000099030000}"/>
    <cellStyle name="Normal 46 4" xfId="533" xr:uid="{00000000-0005-0000-0000-00009A030000}"/>
    <cellStyle name="Normal 46 4 2" xfId="1161" xr:uid="{00000000-0005-0000-0000-00009B030000}"/>
    <cellStyle name="Normal 46 5" xfId="602" xr:uid="{00000000-0005-0000-0000-00009C030000}"/>
    <cellStyle name="Normal 46 5 2" xfId="1218" xr:uid="{00000000-0005-0000-0000-00009D030000}"/>
    <cellStyle name="Normal 46 6" xfId="660" xr:uid="{00000000-0005-0000-0000-00009E030000}"/>
    <cellStyle name="Normal 47" xfId="189" xr:uid="{00000000-0005-0000-0000-00009F030000}"/>
    <cellStyle name="Normal 47 2" xfId="235" xr:uid="{00000000-0005-0000-0000-0000A0030000}"/>
    <cellStyle name="Normal 47 2 2" xfId="430" xr:uid="{00000000-0005-0000-0000-0000A1030000}"/>
    <cellStyle name="Normal 47 2 2 2" xfId="1074" xr:uid="{00000000-0005-0000-0000-0000A2030000}"/>
    <cellStyle name="Normal 47 2 3" xfId="905" xr:uid="{00000000-0005-0000-0000-0000A3030000}"/>
    <cellStyle name="Normal 47 3" xfId="315" xr:uid="{00000000-0005-0000-0000-0000A4030000}"/>
    <cellStyle name="Normal 47 3 2" xfId="972" xr:uid="{00000000-0005-0000-0000-0000A5030000}"/>
    <cellStyle name="Normal 47 4" xfId="537" xr:uid="{00000000-0005-0000-0000-0000A6030000}"/>
    <cellStyle name="Normal 47 4 2" xfId="1165" xr:uid="{00000000-0005-0000-0000-0000A7030000}"/>
    <cellStyle name="Normal 47 5" xfId="606" xr:uid="{00000000-0005-0000-0000-0000A8030000}"/>
    <cellStyle name="Normal 47 5 2" xfId="1222" xr:uid="{00000000-0005-0000-0000-0000A9030000}"/>
    <cellStyle name="Normal 47 6" xfId="664" xr:uid="{00000000-0005-0000-0000-0000AA030000}"/>
    <cellStyle name="Normal 47 7" xfId="860" xr:uid="{00000000-0005-0000-0000-0000AB030000}"/>
    <cellStyle name="Normal 48" xfId="239" xr:uid="{00000000-0005-0000-0000-0000AC030000}"/>
    <cellStyle name="Normal 48 2" xfId="434" xr:uid="{00000000-0005-0000-0000-0000AD030000}"/>
    <cellStyle name="Normal 48 2 2" xfId="1078" xr:uid="{00000000-0005-0000-0000-0000AE030000}"/>
    <cellStyle name="Normal 48 3" xfId="316" xr:uid="{00000000-0005-0000-0000-0000AF030000}"/>
    <cellStyle name="Normal 48 4" xfId="541" xr:uid="{00000000-0005-0000-0000-0000B0030000}"/>
    <cellStyle name="Normal 48 4 2" xfId="1169" xr:uid="{00000000-0005-0000-0000-0000B1030000}"/>
    <cellStyle name="Normal 48 5" xfId="610" xr:uid="{00000000-0005-0000-0000-0000B2030000}"/>
    <cellStyle name="Normal 48 5 2" xfId="1226" xr:uid="{00000000-0005-0000-0000-0000B3030000}"/>
    <cellStyle name="Normal 48 6" xfId="668" xr:uid="{00000000-0005-0000-0000-0000B4030000}"/>
    <cellStyle name="Normal 49" xfId="243" xr:uid="{00000000-0005-0000-0000-0000B5030000}"/>
    <cellStyle name="Normal 49 2" xfId="438" xr:uid="{00000000-0005-0000-0000-0000B6030000}"/>
    <cellStyle name="Normal 49 2 2" xfId="1082" xr:uid="{00000000-0005-0000-0000-0000B7030000}"/>
    <cellStyle name="Normal 49 3" xfId="317" xr:uid="{00000000-0005-0000-0000-0000B8030000}"/>
    <cellStyle name="Normal 49 4" xfId="545" xr:uid="{00000000-0005-0000-0000-0000B9030000}"/>
    <cellStyle name="Normal 49 4 2" xfId="1173" xr:uid="{00000000-0005-0000-0000-0000BA030000}"/>
    <cellStyle name="Normal 49 5" xfId="614" xr:uid="{00000000-0005-0000-0000-0000BB030000}"/>
    <cellStyle name="Normal 49 5 2" xfId="1230" xr:uid="{00000000-0005-0000-0000-0000BC030000}"/>
    <cellStyle name="Normal 49 6" xfId="672" xr:uid="{00000000-0005-0000-0000-0000BD030000}"/>
    <cellStyle name="Normal 5" xfId="80" xr:uid="{00000000-0005-0000-0000-0000BE030000}"/>
    <cellStyle name="Normal 5 2" xfId="132" xr:uid="{00000000-0005-0000-0000-0000BF030000}"/>
    <cellStyle name="Normal 5 2 2" xfId="218" xr:uid="{00000000-0005-0000-0000-0000C0030000}"/>
    <cellStyle name="Normal 5 2 2 2" xfId="888" xr:uid="{00000000-0005-0000-0000-0000C1030000}"/>
    <cellStyle name="Normal 5 2 3" xfId="289" xr:uid="{00000000-0005-0000-0000-0000C2030000}"/>
    <cellStyle name="Normal 5 2 3 2" xfId="946" xr:uid="{00000000-0005-0000-0000-0000C3030000}"/>
    <cellStyle name="Normal 5 2 4" xfId="835" xr:uid="{00000000-0005-0000-0000-0000C4030000}"/>
    <cellStyle name="Normal 50" xfId="185" xr:uid="{00000000-0005-0000-0000-0000C5030000}"/>
    <cellStyle name="Normal 50 2" xfId="259" xr:uid="{00000000-0005-0000-0000-0000C6030000}"/>
    <cellStyle name="Normal 50 2 2" xfId="358" xr:uid="{00000000-0005-0000-0000-0000C7030000}"/>
    <cellStyle name="Normal 50 2 2 2" xfId="1011" xr:uid="{00000000-0005-0000-0000-0000C8030000}"/>
    <cellStyle name="Normal 50 2 3" xfId="920" xr:uid="{00000000-0005-0000-0000-0000C9030000}"/>
    <cellStyle name="Normal 50 3" xfId="255" xr:uid="{00000000-0005-0000-0000-0000CA030000}"/>
    <cellStyle name="Normal 50 4" xfId="263" xr:uid="{00000000-0005-0000-0000-0000CB030000}"/>
    <cellStyle name="Normal 50 4 2" xfId="719" xr:uid="{00000000-0005-0000-0000-0000CC030000}"/>
    <cellStyle name="Normal 50 4 2 2" xfId="722" xr:uid="{00000000-0005-0000-0000-0000CD030000}"/>
    <cellStyle name="Normal 50 4 2 2 2" xfId="730" xr:uid="{00000000-0005-0000-0000-0000CE030000}"/>
    <cellStyle name="Normal 50 4 2 2 2 2" xfId="1306" xr:uid="{00000000-0005-0000-0000-0000CF030000}"/>
    <cellStyle name="Normal 50 4 2 2 2 3" xfId="1315" xr:uid="{00000000-0005-0000-0000-0000D0030000}"/>
    <cellStyle name="Normal 50 4 2 2 3" xfId="1300" xr:uid="{00000000-0005-0000-0000-0000D1030000}"/>
    <cellStyle name="Normal 50 4 3" xfId="788" xr:uid="{00000000-0005-0000-0000-0000D2030000}"/>
    <cellStyle name="Normal 50 5" xfId="319" xr:uid="{00000000-0005-0000-0000-0000D3030000}"/>
    <cellStyle name="Normal 50 5 2" xfId="974" xr:uid="{00000000-0005-0000-0000-0000D4030000}"/>
    <cellStyle name="Normal 50 6" xfId="734" xr:uid="{00000000-0005-0000-0000-0000D5030000}"/>
    <cellStyle name="Normal 50 6 2" xfId="761" xr:uid="{00000000-0005-0000-0000-0000D6030000}"/>
    <cellStyle name="Normal 50 7" xfId="739" xr:uid="{00000000-0005-0000-0000-0000D7030000}"/>
    <cellStyle name="Normal 50 8" xfId="856" xr:uid="{00000000-0005-0000-0000-0000D8030000}"/>
    <cellStyle name="Normal 51" xfId="192" xr:uid="{00000000-0005-0000-0000-0000D9030000}"/>
    <cellStyle name="Normal 51 2" xfId="260" xr:uid="{00000000-0005-0000-0000-0000DA030000}"/>
    <cellStyle name="Normal 51 3" xfId="320" xr:uid="{00000000-0005-0000-0000-0000DB030000}"/>
    <cellStyle name="Normal 51 3 2" xfId="975" xr:uid="{00000000-0005-0000-0000-0000DC030000}"/>
    <cellStyle name="Normal 52" xfId="262" xr:uid="{00000000-0005-0000-0000-0000DD030000}"/>
    <cellStyle name="Normal 52 2" xfId="456" xr:uid="{00000000-0005-0000-0000-0000DE030000}"/>
    <cellStyle name="Normal 52 3" xfId="321" xr:uid="{00000000-0005-0000-0000-0000DF030000}"/>
    <cellStyle name="Normal 52 3 2" xfId="976" xr:uid="{00000000-0005-0000-0000-0000E0030000}"/>
    <cellStyle name="Normal 52 4" xfId="922" xr:uid="{00000000-0005-0000-0000-0000E1030000}"/>
    <cellStyle name="Normal 53" xfId="322" xr:uid="{00000000-0005-0000-0000-0000E2030000}"/>
    <cellStyle name="Normal 53 2" xfId="457" xr:uid="{00000000-0005-0000-0000-0000E3030000}"/>
    <cellStyle name="Normal 53 3" xfId="977" xr:uid="{00000000-0005-0000-0000-0000E4030000}"/>
    <cellStyle name="Normal 54" xfId="323" xr:uid="{00000000-0005-0000-0000-0000E5030000}"/>
    <cellStyle name="Normal 54 2" xfId="458" xr:uid="{00000000-0005-0000-0000-0000E6030000}"/>
    <cellStyle name="Normal 54 3" xfId="978" xr:uid="{00000000-0005-0000-0000-0000E7030000}"/>
    <cellStyle name="Normal 55" xfId="324" xr:uid="{00000000-0005-0000-0000-0000E8030000}"/>
    <cellStyle name="Normal 55 2" xfId="459" xr:uid="{00000000-0005-0000-0000-0000E9030000}"/>
    <cellStyle name="Normal 55 3" xfId="486" xr:uid="{00000000-0005-0000-0000-0000EA030000}"/>
    <cellStyle name="Normal 55 3 2" xfId="1117" xr:uid="{00000000-0005-0000-0000-0000EB030000}"/>
    <cellStyle name="Normal 55 4" xfId="979" xr:uid="{00000000-0005-0000-0000-0000EC030000}"/>
    <cellStyle name="Normal 56" xfId="325" xr:uid="{00000000-0005-0000-0000-0000ED030000}"/>
    <cellStyle name="Normal 56 2" xfId="460" xr:uid="{00000000-0005-0000-0000-0000EE030000}"/>
    <cellStyle name="Normal 56 3" xfId="980" xr:uid="{00000000-0005-0000-0000-0000EF030000}"/>
    <cellStyle name="Normal 57" xfId="326" xr:uid="{00000000-0005-0000-0000-0000F0030000}"/>
    <cellStyle name="Normal 57 2" xfId="461" xr:uid="{00000000-0005-0000-0000-0000F1030000}"/>
    <cellStyle name="Normal 57 3" xfId="981" xr:uid="{00000000-0005-0000-0000-0000F2030000}"/>
    <cellStyle name="Normal 58" xfId="327" xr:uid="{00000000-0005-0000-0000-0000F3030000}"/>
    <cellStyle name="Normal 58 2" xfId="462" xr:uid="{00000000-0005-0000-0000-0000F4030000}"/>
    <cellStyle name="Normal 58 3" xfId="982" xr:uid="{00000000-0005-0000-0000-0000F5030000}"/>
    <cellStyle name="Normal 59" xfId="329" xr:uid="{00000000-0005-0000-0000-0000F6030000}"/>
    <cellStyle name="Normal 59 2" xfId="464" xr:uid="{00000000-0005-0000-0000-0000F7030000}"/>
    <cellStyle name="Normal 59 3" xfId="984" xr:uid="{00000000-0005-0000-0000-0000F8030000}"/>
    <cellStyle name="Normal 6" xfId="81" xr:uid="{00000000-0005-0000-0000-0000F9030000}"/>
    <cellStyle name="Normal 6 2" xfId="205" xr:uid="{00000000-0005-0000-0000-0000FA030000}"/>
    <cellStyle name="Normal 6 2 2" xfId="875" xr:uid="{00000000-0005-0000-0000-0000FB030000}"/>
    <cellStyle name="Normal 6 3" xfId="275" xr:uid="{00000000-0005-0000-0000-0000FC030000}"/>
    <cellStyle name="Normal 6 3 2" xfId="932" xr:uid="{00000000-0005-0000-0000-0000FD030000}"/>
    <cellStyle name="Normal 6 4" xfId="822" xr:uid="{00000000-0005-0000-0000-0000FE030000}"/>
    <cellStyle name="Normal 60" xfId="330" xr:uid="{00000000-0005-0000-0000-0000FF030000}"/>
    <cellStyle name="Normal 60 2" xfId="465" xr:uid="{00000000-0005-0000-0000-000000040000}"/>
    <cellStyle name="Normal 60 3" xfId="985" xr:uid="{00000000-0005-0000-0000-000001040000}"/>
    <cellStyle name="Normal 61" xfId="331" xr:uid="{00000000-0005-0000-0000-000002040000}"/>
    <cellStyle name="Normal 61 2" xfId="466" xr:uid="{00000000-0005-0000-0000-000003040000}"/>
    <cellStyle name="Normal 61 3" xfId="986" xr:uid="{00000000-0005-0000-0000-000004040000}"/>
    <cellStyle name="Normal 62" xfId="332" xr:uid="{00000000-0005-0000-0000-000005040000}"/>
    <cellStyle name="Normal 62 2" xfId="467" xr:uid="{00000000-0005-0000-0000-000006040000}"/>
    <cellStyle name="Normal 62 3" xfId="987" xr:uid="{00000000-0005-0000-0000-000007040000}"/>
    <cellStyle name="Normal 63" xfId="333" xr:uid="{00000000-0005-0000-0000-000008040000}"/>
    <cellStyle name="Normal 63 2" xfId="468" xr:uid="{00000000-0005-0000-0000-000009040000}"/>
    <cellStyle name="Normal 63 3" xfId="988" xr:uid="{00000000-0005-0000-0000-00000A040000}"/>
    <cellStyle name="Normal 64" xfId="334" xr:uid="{00000000-0005-0000-0000-00000B040000}"/>
    <cellStyle name="Normal 64 2" xfId="469" xr:uid="{00000000-0005-0000-0000-00000C040000}"/>
    <cellStyle name="Normal 65" xfId="335" xr:uid="{00000000-0005-0000-0000-00000D040000}"/>
    <cellStyle name="Normal 65 2" xfId="562" xr:uid="{00000000-0005-0000-0000-00000E040000}"/>
    <cellStyle name="Normal 65 3" xfId="989" xr:uid="{00000000-0005-0000-0000-00000F040000}"/>
    <cellStyle name="Normal 66" xfId="339" xr:uid="{00000000-0005-0000-0000-000010040000}"/>
    <cellStyle name="Normal 66 2" xfId="563" xr:uid="{00000000-0005-0000-0000-000011040000}"/>
    <cellStyle name="Normal 66 3" xfId="993" xr:uid="{00000000-0005-0000-0000-000012040000}"/>
    <cellStyle name="Normal 67" xfId="343" xr:uid="{00000000-0005-0000-0000-000013040000}"/>
    <cellStyle name="Normal 67 2" xfId="564" xr:uid="{00000000-0005-0000-0000-000014040000}"/>
    <cellStyle name="Normal 67 3" xfId="997" xr:uid="{00000000-0005-0000-0000-000015040000}"/>
    <cellStyle name="Normal 68" xfId="251" xr:uid="{00000000-0005-0000-0000-000016040000}"/>
    <cellStyle name="Normal 68 2" xfId="446" xr:uid="{00000000-0005-0000-0000-000017040000}"/>
    <cellStyle name="Normal 68 2 2" xfId="1090" xr:uid="{00000000-0005-0000-0000-000018040000}"/>
    <cellStyle name="Normal 68 3" xfId="344" xr:uid="{00000000-0005-0000-0000-000019040000}"/>
    <cellStyle name="Normal 68 3 2" xfId="998" xr:uid="{00000000-0005-0000-0000-00001A040000}"/>
    <cellStyle name="Normal 68 4" xfId="553" xr:uid="{00000000-0005-0000-0000-00001B040000}"/>
    <cellStyle name="Normal 68 4 2" xfId="1181" xr:uid="{00000000-0005-0000-0000-00001C040000}"/>
    <cellStyle name="Normal 68 5" xfId="622" xr:uid="{00000000-0005-0000-0000-00001D040000}"/>
    <cellStyle name="Normal 68 5 2" xfId="1238" xr:uid="{00000000-0005-0000-0000-00001E040000}"/>
    <cellStyle name="Normal 68 6" xfId="680" xr:uid="{00000000-0005-0000-0000-00001F040000}"/>
    <cellStyle name="Normal 69" xfId="348" xr:uid="{00000000-0005-0000-0000-000020040000}"/>
    <cellStyle name="Normal 69 2" xfId="565" xr:uid="{00000000-0005-0000-0000-000021040000}"/>
    <cellStyle name="Normal 69 3" xfId="1002" xr:uid="{00000000-0005-0000-0000-000022040000}"/>
    <cellStyle name="Normal 7" xfId="85" xr:uid="{00000000-0005-0000-0000-000023040000}"/>
    <cellStyle name="Normal 7 2" xfId="142" xr:uid="{00000000-0005-0000-0000-000024040000}"/>
    <cellStyle name="Normal 70" xfId="349" xr:uid="{00000000-0005-0000-0000-000025040000}"/>
    <cellStyle name="Normal 71" xfId="350" xr:uid="{00000000-0005-0000-0000-000026040000}"/>
    <cellStyle name="Normal 71 2" xfId="567" xr:uid="{00000000-0005-0000-0000-000027040000}"/>
    <cellStyle name="Normal 71 3" xfId="1003" xr:uid="{00000000-0005-0000-0000-000028040000}"/>
    <cellStyle name="Normal 72" xfId="351" xr:uid="{00000000-0005-0000-0000-000029040000}"/>
    <cellStyle name="Normal 72 2" xfId="568" xr:uid="{00000000-0005-0000-0000-00002A040000}"/>
    <cellStyle name="Normal 72 3" xfId="1004" xr:uid="{00000000-0005-0000-0000-00002B040000}"/>
    <cellStyle name="Normal 73" xfId="354" xr:uid="{00000000-0005-0000-0000-00002C040000}"/>
    <cellStyle name="Normal 73 2" xfId="569" xr:uid="{00000000-0005-0000-0000-00002D040000}"/>
    <cellStyle name="Normal 73 3" xfId="1007" xr:uid="{00000000-0005-0000-0000-00002E040000}"/>
    <cellStyle name="Normal 74" xfId="356" xr:uid="{00000000-0005-0000-0000-00002F040000}"/>
    <cellStyle name="Normal 74 2" xfId="570" xr:uid="{00000000-0005-0000-0000-000030040000}"/>
    <cellStyle name="Normal 74 3" xfId="1009" xr:uid="{00000000-0005-0000-0000-000031040000}"/>
    <cellStyle name="Normal 75" xfId="359" xr:uid="{00000000-0005-0000-0000-000032040000}"/>
    <cellStyle name="Normal 75 2" xfId="571" xr:uid="{00000000-0005-0000-0000-000033040000}"/>
    <cellStyle name="Normal 75 3" xfId="1012" xr:uid="{00000000-0005-0000-0000-000034040000}"/>
    <cellStyle name="Normal 76" xfId="360" xr:uid="{00000000-0005-0000-0000-000035040000}"/>
    <cellStyle name="Normal 77" xfId="362" xr:uid="{00000000-0005-0000-0000-000036040000}"/>
    <cellStyle name="Normal 77 2" xfId="574" xr:uid="{00000000-0005-0000-0000-000037040000}"/>
    <cellStyle name="Normal 77 3" xfId="1014" xr:uid="{00000000-0005-0000-0000-000038040000}"/>
    <cellStyle name="Normal 78" xfId="363" xr:uid="{00000000-0005-0000-0000-000039040000}"/>
    <cellStyle name="Normal 78 2" xfId="575" xr:uid="{00000000-0005-0000-0000-00003A040000}"/>
    <cellStyle name="Normal 78 2 2" xfId="641" xr:uid="{00000000-0005-0000-0000-00003B040000}"/>
    <cellStyle name="Normal 78 2 2 2" xfId="705" xr:uid="{00000000-0005-0000-0000-00003C040000}"/>
    <cellStyle name="Normal 78 2 2 2 2" xfId="714" xr:uid="{00000000-0005-0000-0000-00003D040000}"/>
    <cellStyle name="Normal 78 2 3" xfId="701" xr:uid="{00000000-0005-0000-0000-00003E040000}"/>
    <cellStyle name="Normal 78 3" xfId="634" xr:uid="{00000000-0005-0000-0000-00003F040000}"/>
    <cellStyle name="Normal 78 3 2" xfId="709" xr:uid="{00000000-0005-0000-0000-000040040000}"/>
    <cellStyle name="Normal 78 4" xfId="692" xr:uid="{00000000-0005-0000-0000-000041040000}"/>
    <cellStyle name="Normal 78 5" xfId="729" xr:uid="{00000000-0005-0000-0000-000042040000}"/>
    <cellStyle name="Normal 78 6" xfId="771" xr:uid="{00000000-0005-0000-0000-000043040000}"/>
    <cellStyle name="Normal 79" xfId="364" xr:uid="{00000000-0005-0000-0000-000044040000}"/>
    <cellStyle name="Normal 79 2" xfId="579" xr:uid="{00000000-0005-0000-0000-000045040000}"/>
    <cellStyle name="Normal 79 2 2" xfId="1196" xr:uid="{00000000-0005-0000-0000-000046040000}"/>
    <cellStyle name="Normal 79 3" xfId="638" xr:uid="{00000000-0005-0000-0000-000047040000}"/>
    <cellStyle name="Normal 79 3 2" xfId="1252" xr:uid="{00000000-0005-0000-0000-000048040000}"/>
    <cellStyle name="Normal 79 4" xfId="696" xr:uid="{00000000-0005-0000-0000-000049040000}"/>
    <cellStyle name="Normal 8" xfId="86" xr:uid="{00000000-0005-0000-0000-00004A040000}"/>
    <cellStyle name="Normal 8 2" xfId="143" xr:uid="{00000000-0005-0000-0000-00004B040000}"/>
    <cellStyle name="Normal 80" xfId="365" xr:uid="{00000000-0005-0000-0000-00004C040000}"/>
    <cellStyle name="Normal 80 2" xfId="1015" xr:uid="{00000000-0005-0000-0000-00004D040000}"/>
    <cellStyle name="Normal 81" xfId="366" xr:uid="{00000000-0005-0000-0000-00004E040000}"/>
    <cellStyle name="Normal 81 2" xfId="782" xr:uid="{00000000-0005-0000-0000-00004F040000}"/>
    <cellStyle name="Normal 81 3" xfId="1016" xr:uid="{00000000-0005-0000-0000-000050040000}"/>
    <cellStyle name="Normal 82" xfId="367" xr:uid="{00000000-0005-0000-0000-000051040000}"/>
    <cellStyle name="Normal 82 2" xfId="1017" xr:uid="{00000000-0005-0000-0000-000052040000}"/>
    <cellStyle name="Normal 83" xfId="368" xr:uid="{00000000-0005-0000-0000-000053040000}"/>
    <cellStyle name="Normal 83 2" xfId="1018" xr:uid="{00000000-0005-0000-0000-000054040000}"/>
    <cellStyle name="Normal 84" xfId="369" xr:uid="{00000000-0005-0000-0000-000055040000}"/>
    <cellStyle name="Normal 84 2" xfId="1019" xr:uid="{00000000-0005-0000-0000-000056040000}"/>
    <cellStyle name="Normal 85" xfId="370" xr:uid="{00000000-0005-0000-0000-000057040000}"/>
    <cellStyle name="Normal 85 2" xfId="1020" xr:uid="{00000000-0005-0000-0000-000058040000}"/>
    <cellStyle name="Normal 86" xfId="371" xr:uid="{00000000-0005-0000-0000-000059040000}"/>
    <cellStyle name="Normal 86 2" xfId="1021" xr:uid="{00000000-0005-0000-0000-00005A040000}"/>
    <cellStyle name="Normal 87" xfId="372" xr:uid="{00000000-0005-0000-0000-00005B040000}"/>
    <cellStyle name="Normal 87 2" xfId="1022" xr:uid="{00000000-0005-0000-0000-00005C040000}"/>
    <cellStyle name="Normal 88" xfId="375" xr:uid="{00000000-0005-0000-0000-00005D040000}"/>
    <cellStyle name="Normal 88 2" xfId="1025" xr:uid="{00000000-0005-0000-0000-00005E040000}"/>
    <cellStyle name="Normal 89" xfId="376" xr:uid="{00000000-0005-0000-0000-00005F040000}"/>
    <cellStyle name="Normal 9" xfId="89" xr:uid="{00000000-0005-0000-0000-000060040000}"/>
    <cellStyle name="Normal 9 2" xfId="144" xr:uid="{00000000-0005-0000-0000-000061040000}"/>
    <cellStyle name="Normal 90" xfId="377" xr:uid="{00000000-0005-0000-0000-000062040000}"/>
    <cellStyle name="Normal 90 2" xfId="1026" xr:uid="{00000000-0005-0000-0000-000063040000}"/>
    <cellStyle name="Normal 91" xfId="379" xr:uid="{00000000-0005-0000-0000-000064040000}"/>
    <cellStyle name="Normal 91 2" xfId="1028" xr:uid="{00000000-0005-0000-0000-000065040000}"/>
    <cellStyle name="Normal 92" xfId="380" xr:uid="{00000000-0005-0000-0000-000066040000}"/>
    <cellStyle name="Normal 93" xfId="381" xr:uid="{00000000-0005-0000-0000-000067040000}"/>
    <cellStyle name="Normal 93 2" xfId="1029" xr:uid="{00000000-0005-0000-0000-000068040000}"/>
    <cellStyle name="Normal 94" xfId="382" xr:uid="{00000000-0005-0000-0000-000069040000}"/>
    <cellStyle name="Normal 95" xfId="383" xr:uid="{00000000-0005-0000-0000-00006A040000}"/>
    <cellStyle name="Normal 95 2" xfId="1030" xr:uid="{00000000-0005-0000-0000-00006B040000}"/>
    <cellStyle name="Normal 96" xfId="387" xr:uid="{00000000-0005-0000-0000-00006C040000}"/>
    <cellStyle name="Normal 96 2" xfId="1034" xr:uid="{00000000-0005-0000-0000-00006D040000}"/>
    <cellStyle name="Normal 97" xfId="390" xr:uid="{00000000-0005-0000-0000-00006E040000}"/>
    <cellStyle name="Normal 97 2" xfId="1037" xr:uid="{00000000-0005-0000-0000-00006F040000}"/>
    <cellStyle name="Normal 98" xfId="392" xr:uid="{00000000-0005-0000-0000-000070040000}"/>
    <cellStyle name="Normal 98 2" xfId="1039" xr:uid="{00000000-0005-0000-0000-000071040000}"/>
    <cellStyle name="Normal 99" xfId="394" xr:uid="{00000000-0005-0000-0000-000072040000}"/>
    <cellStyle name="Normal 99 2" xfId="1040" xr:uid="{00000000-0005-0000-0000-000073040000}"/>
    <cellStyle name="Notas 2" xfId="46" xr:uid="{00000000-0005-0000-0000-000074040000}"/>
    <cellStyle name="Note 2" xfId="82" xr:uid="{00000000-0005-0000-0000-000075040000}"/>
    <cellStyle name="Note 2 2" xfId="83" xr:uid="{00000000-0005-0000-0000-000076040000}"/>
    <cellStyle name="Note 2 2 2" xfId="207" xr:uid="{00000000-0005-0000-0000-000077040000}"/>
    <cellStyle name="Note 2 2 2 2" xfId="877" xr:uid="{00000000-0005-0000-0000-000078040000}"/>
    <cellStyle name="Note 2 2 3" xfId="277" xr:uid="{00000000-0005-0000-0000-000079040000}"/>
    <cellStyle name="Note 2 2 3 2" xfId="934" xr:uid="{00000000-0005-0000-0000-00007A040000}"/>
    <cellStyle name="Note 2 2 4" xfId="824" xr:uid="{00000000-0005-0000-0000-00007B040000}"/>
    <cellStyle name="Note 2 3" xfId="206" xr:uid="{00000000-0005-0000-0000-00007C040000}"/>
    <cellStyle name="Note 2 3 2" xfId="876" xr:uid="{00000000-0005-0000-0000-00007D040000}"/>
    <cellStyle name="Note 2 4" xfId="276" xr:uid="{00000000-0005-0000-0000-00007E040000}"/>
    <cellStyle name="Note 2 4 2" xfId="933" xr:uid="{00000000-0005-0000-0000-00007F040000}"/>
    <cellStyle name="Note 2 5" xfId="823" xr:uid="{00000000-0005-0000-0000-000080040000}"/>
    <cellStyle name="Note 3" xfId="809" xr:uid="{00000000-0005-0000-0000-000081040000}"/>
    <cellStyle name="Output" xfId="9" builtinId="21" customBuiltin="1"/>
    <cellStyle name="Percent 10" xfId="267" xr:uid="{00000000-0005-0000-0000-000082040000}"/>
    <cellStyle name="Percent 10 2" xfId="488" xr:uid="{00000000-0005-0000-0000-000083040000}"/>
    <cellStyle name="Percent 10 2 2" xfId="1119" xr:uid="{00000000-0005-0000-0000-000084040000}"/>
    <cellStyle name="Percent 10 3" xfId="389" xr:uid="{00000000-0005-0000-0000-000085040000}"/>
    <cellStyle name="Percent 10 3 2" xfId="1036" xr:uid="{00000000-0005-0000-0000-000086040000}"/>
    <cellStyle name="Percent 10 4" xfId="737" xr:uid="{00000000-0005-0000-0000-000087040000}"/>
    <cellStyle name="Percent 10 4 2" xfId="765" xr:uid="{00000000-0005-0000-0000-000088040000}"/>
    <cellStyle name="Percent 10 4 3" xfId="1310" xr:uid="{00000000-0005-0000-0000-000089040000}"/>
    <cellStyle name="Percent 10 5" xfId="744" xr:uid="{00000000-0005-0000-0000-00008A040000}"/>
    <cellStyle name="Percent 10 6" xfId="774" xr:uid="{00000000-0005-0000-0000-00008B040000}"/>
    <cellStyle name="Percent 11" xfId="393" xr:uid="{00000000-0005-0000-0000-00008C040000}"/>
    <cellStyle name="Percent 11 2" xfId="581" xr:uid="{00000000-0005-0000-0000-00008D040000}"/>
    <cellStyle name="Percent 11 2 2" xfId="640" xr:uid="{00000000-0005-0000-0000-00008E040000}"/>
    <cellStyle name="Percent 11 2 2 2" xfId="1254" xr:uid="{00000000-0005-0000-0000-00008F040000}"/>
    <cellStyle name="Percent 11 2 3" xfId="698" xr:uid="{00000000-0005-0000-0000-000090040000}"/>
    <cellStyle name="Percent 11 3" xfId="577" xr:uid="{00000000-0005-0000-0000-000091040000}"/>
    <cellStyle name="Percent 11 3 2" xfId="1194" xr:uid="{00000000-0005-0000-0000-000092040000}"/>
    <cellStyle name="Percent 11 4" xfId="636" xr:uid="{00000000-0005-0000-0000-000093040000}"/>
    <cellStyle name="Percent 11 4 2" xfId="708" xr:uid="{00000000-0005-0000-0000-000094040000}"/>
    <cellStyle name="Percent 11 5" xfId="694" xr:uid="{00000000-0005-0000-0000-000095040000}"/>
    <cellStyle name="Percent 11 6" xfId="773" xr:uid="{00000000-0005-0000-0000-000096040000}"/>
    <cellStyle name="Percent 12" xfId="395" xr:uid="{00000000-0005-0000-0000-000097040000}"/>
    <cellStyle name="Percent 12 2" xfId="580" xr:uid="{00000000-0005-0000-0000-000098040000}"/>
    <cellStyle name="Percent 12 2 2" xfId="1197" xr:uid="{00000000-0005-0000-0000-000099040000}"/>
    <cellStyle name="Percent 12 3" xfId="639" xr:uid="{00000000-0005-0000-0000-00009A040000}"/>
    <cellStyle name="Percent 12 3 2" xfId="1253" xr:uid="{00000000-0005-0000-0000-00009B040000}"/>
    <cellStyle name="Percent 12 4" xfId="697" xr:uid="{00000000-0005-0000-0000-00009C040000}"/>
    <cellStyle name="Percent 13" xfId="398" xr:uid="{00000000-0005-0000-0000-00009D040000}"/>
    <cellStyle name="Percent 13 2" xfId="704" xr:uid="{00000000-0005-0000-0000-00009E040000}"/>
    <cellStyle name="Percent 13 3" xfId="702" xr:uid="{00000000-0005-0000-0000-00009F040000}"/>
    <cellStyle name="Percent 14" xfId="400" xr:uid="{00000000-0005-0000-0000-0000A0040000}"/>
    <cellStyle name="Percent 14 2" xfId="1044" xr:uid="{00000000-0005-0000-0000-0000A1040000}"/>
    <cellStyle name="Percent 15" xfId="402" xr:uid="{00000000-0005-0000-0000-0000A2040000}"/>
    <cellStyle name="Percent 15 2" xfId="1046" xr:uid="{00000000-0005-0000-0000-0000A3040000}"/>
    <cellStyle name="Percent 16" xfId="404" xr:uid="{00000000-0005-0000-0000-0000A4040000}"/>
    <cellStyle name="Percent 16 2" xfId="1048" xr:uid="{00000000-0005-0000-0000-0000A5040000}"/>
    <cellStyle name="Percent 17" xfId="470" xr:uid="{00000000-0005-0000-0000-0000A6040000}"/>
    <cellStyle name="Percent 17 2" xfId="1101" xr:uid="{00000000-0005-0000-0000-0000A7040000}"/>
    <cellStyle name="Percent 18" xfId="476" xr:uid="{00000000-0005-0000-0000-0000A8040000}"/>
    <cellStyle name="Percent 18 2" xfId="1107" xr:uid="{00000000-0005-0000-0000-0000A9040000}"/>
    <cellStyle name="Percent 19" xfId="712" xr:uid="{00000000-0005-0000-0000-0000AA040000}"/>
    <cellStyle name="Percent 19 2" xfId="1298" xr:uid="{00000000-0005-0000-0000-0000AB040000}"/>
    <cellStyle name="Percent 2" xfId="47" xr:uid="{00000000-0005-0000-0000-0000AC040000}"/>
    <cellStyle name="Percent 2 2" xfId="54" xr:uid="{00000000-0005-0000-0000-0000AD040000}"/>
    <cellStyle name="Percent 2 3" xfId="61" xr:uid="{00000000-0005-0000-0000-0000AE040000}"/>
    <cellStyle name="Percent 2 4" xfId="177" xr:uid="{00000000-0005-0000-0000-0000AF040000}"/>
    <cellStyle name="Percent 2 4 2" xfId="228" xr:uid="{00000000-0005-0000-0000-0000B0040000}"/>
    <cellStyle name="Percent 2 4 2 2" xfId="318" xr:uid="{00000000-0005-0000-0000-0000B1040000}"/>
    <cellStyle name="Percent 2 4 2 2 2" xfId="973" xr:uid="{00000000-0005-0000-0000-0000B2040000}"/>
    <cellStyle name="Percent 2 4 2 3" xfId="898" xr:uid="{00000000-0005-0000-0000-0000B3040000}"/>
    <cellStyle name="Percent 2 4 3" xfId="224" xr:uid="{00000000-0005-0000-0000-0000B4040000}"/>
    <cellStyle name="Percent 2 4 3 2" xfId="894" xr:uid="{00000000-0005-0000-0000-0000B5040000}"/>
    <cellStyle name="Percent 2 4 4" xfId="309" xr:uid="{00000000-0005-0000-0000-0000B6040000}"/>
    <cellStyle name="Percent 2 4 4 2" xfId="966" xr:uid="{00000000-0005-0000-0000-0000B7040000}"/>
    <cellStyle name="Percent 2 4 5" xfId="785" xr:uid="{00000000-0005-0000-0000-0000B8040000}"/>
    <cellStyle name="Percent 2 5" xfId="754" xr:uid="{00000000-0005-0000-0000-0000B9040000}"/>
    <cellStyle name="Percent 2 6" xfId="760" xr:uid="{00000000-0005-0000-0000-0000BA040000}"/>
    <cellStyle name="Percent 2 7" xfId="1326" xr:uid="{00000000-0005-0000-0000-0000BB040000}"/>
    <cellStyle name="Percent 2 8" xfId="1331" xr:uid="{00000000-0005-0000-0000-0000BC040000}"/>
    <cellStyle name="Percent 2 9" xfId="1336" xr:uid="{00000000-0005-0000-0000-0000BD040000}"/>
    <cellStyle name="Percent 20" xfId="718" xr:uid="{00000000-0005-0000-0000-0000BE040000}"/>
    <cellStyle name="Percent 21" xfId="727" xr:uid="{00000000-0005-0000-0000-0000BF040000}"/>
    <cellStyle name="Percent 3" xfId="60" xr:uid="{00000000-0005-0000-0000-0000C0040000}"/>
    <cellStyle name="Percent 3 2" xfId="52" xr:uid="{00000000-0005-0000-0000-0000C1040000}"/>
    <cellStyle name="Percent 3 2 2" xfId="141" xr:uid="{00000000-0005-0000-0000-0000C2040000}"/>
    <cellStyle name="Percent 3 2 3" xfId="219" xr:uid="{00000000-0005-0000-0000-0000C3040000}"/>
    <cellStyle name="Percent 3 2 3 2" xfId="889" xr:uid="{00000000-0005-0000-0000-0000C4040000}"/>
    <cellStyle name="Percent 3 2 4" xfId="290" xr:uid="{00000000-0005-0000-0000-0000C5040000}"/>
    <cellStyle name="Percent 3 2 4 2" xfId="947" xr:uid="{00000000-0005-0000-0000-0000C6040000}"/>
    <cellStyle name="Percent 3 2 5" xfId="810" xr:uid="{00000000-0005-0000-0000-0000C7040000}"/>
    <cellStyle name="Percent 4" xfId="88" xr:uid="{00000000-0005-0000-0000-0000C8040000}"/>
    <cellStyle name="Percent 4 2" xfId="209" xr:uid="{00000000-0005-0000-0000-0000C9040000}"/>
    <cellStyle name="Percent 4 2 2" xfId="879" xr:uid="{00000000-0005-0000-0000-0000CA040000}"/>
    <cellStyle name="Percent 4 3" xfId="280" xr:uid="{00000000-0005-0000-0000-0000CB040000}"/>
    <cellStyle name="Percent 4 3 2" xfId="937" xr:uid="{00000000-0005-0000-0000-0000CC040000}"/>
    <cellStyle name="Percent 4 4" xfId="780" xr:uid="{00000000-0005-0000-0000-0000CD040000}"/>
    <cellStyle name="Percent 5" xfId="115" xr:uid="{00000000-0005-0000-0000-0000CE040000}"/>
    <cellStyle name="Percent 5 2" xfId="149" xr:uid="{00000000-0005-0000-0000-0000CF040000}"/>
    <cellStyle name="Percent 6" xfId="184" xr:uid="{00000000-0005-0000-0000-0000D0040000}"/>
    <cellStyle name="Percent 6 10" xfId="738" xr:uid="{00000000-0005-0000-0000-0000D1040000}"/>
    <cellStyle name="Percent 6 10 2" xfId="762" xr:uid="{00000000-0005-0000-0000-0000D2040000}"/>
    <cellStyle name="Percent 6 11" xfId="746" xr:uid="{00000000-0005-0000-0000-0000D3040000}"/>
    <cellStyle name="Percent 6 12" xfId="855" xr:uid="{00000000-0005-0000-0000-0000D4040000}"/>
    <cellStyle name="Percent 6 2" xfId="248" xr:uid="{00000000-0005-0000-0000-0000D5040000}"/>
    <cellStyle name="Percent 6 2 2" xfId="443" xr:uid="{00000000-0005-0000-0000-0000D6040000}"/>
    <cellStyle name="Percent 6 2 2 2" xfId="1087" xr:uid="{00000000-0005-0000-0000-0000D7040000}"/>
    <cellStyle name="Percent 6 2 3" xfId="353" xr:uid="{00000000-0005-0000-0000-0000D8040000}"/>
    <cellStyle name="Percent 6 2 3 2" xfId="1006" xr:uid="{00000000-0005-0000-0000-0000D9040000}"/>
    <cellStyle name="Percent 6 2 4" xfId="550" xr:uid="{00000000-0005-0000-0000-0000DA040000}"/>
    <cellStyle name="Percent 6 2 4 2" xfId="1178" xr:uid="{00000000-0005-0000-0000-0000DB040000}"/>
    <cellStyle name="Percent 6 2 5" xfId="619" xr:uid="{00000000-0005-0000-0000-0000DC040000}"/>
    <cellStyle name="Percent 6 2 5 2" xfId="1235" xr:uid="{00000000-0005-0000-0000-0000DD040000}"/>
    <cellStyle name="Percent 6 2 6" xfId="677" xr:uid="{00000000-0005-0000-0000-0000DE040000}"/>
    <cellStyle name="Percent 6 3" xfId="256" xr:uid="{00000000-0005-0000-0000-0000DF040000}"/>
    <cellStyle name="Percent 6 3 2" xfId="450" xr:uid="{00000000-0005-0000-0000-0000E0040000}"/>
    <cellStyle name="Percent 6 3 2 2" xfId="1094" xr:uid="{00000000-0005-0000-0000-0000E1040000}"/>
    <cellStyle name="Percent 6 3 3" xfId="917" xr:uid="{00000000-0005-0000-0000-0000E2040000}"/>
    <cellStyle name="Percent 6 4" xfId="232" xr:uid="{00000000-0005-0000-0000-0000E3040000}"/>
    <cellStyle name="Percent 6 4 2" xfId="483" xr:uid="{00000000-0005-0000-0000-0000E4040000}"/>
    <cellStyle name="Percent 6 4 2 2" xfId="1114" xr:uid="{00000000-0005-0000-0000-0000E5040000}"/>
    <cellStyle name="Percent 6 4 3" xfId="427" xr:uid="{00000000-0005-0000-0000-0000E6040000}"/>
    <cellStyle name="Percent 6 4 3 2" xfId="1071" xr:uid="{00000000-0005-0000-0000-0000E7040000}"/>
    <cellStyle name="Percent 6 4 4" xfId="902" xr:uid="{00000000-0005-0000-0000-0000E8040000}"/>
    <cellStyle name="Percent 6 5" xfId="266" xr:uid="{00000000-0005-0000-0000-0000E9040000}"/>
    <cellStyle name="Percent 6 5 2" xfId="721" xr:uid="{00000000-0005-0000-0000-0000EA040000}"/>
    <cellStyle name="Percent 6 5 2 2" xfId="725" xr:uid="{00000000-0005-0000-0000-0000EB040000}"/>
    <cellStyle name="Percent 6 5 2 2 2" xfId="733" xr:uid="{00000000-0005-0000-0000-0000EC040000}"/>
    <cellStyle name="Percent 6 5 2 2 2 2" xfId="1309" xr:uid="{00000000-0005-0000-0000-0000ED040000}"/>
    <cellStyle name="Percent 6 5 2 2 2 3" xfId="1318" xr:uid="{00000000-0005-0000-0000-0000EE040000}"/>
    <cellStyle name="Percent 6 5 2 2 3" xfId="1303" xr:uid="{00000000-0005-0000-0000-0000EF040000}"/>
    <cellStyle name="Percent 6 5 3" xfId="792" xr:uid="{00000000-0005-0000-0000-0000F0040000}"/>
    <cellStyle name="Percent 6 6" xfId="336" xr:uid="{00000000-0005-0000-0000-0000F1040000}"/>
    <cellStyle name="Percent 6 6 2" xfId="990" xr:uid="{00000000-0005-0000-0000-0000F2040000}"/>
    <cellStyle name="Percent 6 7" xfId="534" xr:uid="{00000000-0005-0000-0000-0000F3040000}"/>
    <cellStyle name="Percent 6 7 2" xfId="1162" xr:uid="{00000000-0005-0000-0000-0000F4040000}"/>
    <cellStyle name="Percent 6 8" xfId="603" xr:uid="{00000000-0005-0000-0000-0000F5040000}"/>
    <cellStyle name="Percent 6 8 2" xfId="1219" xr:uid="{00000000-0005-0000-0000-0000F6040000}"/>
    <cellStyle name="Percent 6 9" xfId="661" xr:uid="{00000000-0005-0000-0000-0000F7040000}"/>
    <cellStyle name="Percent 7" xfId="188" xr:uid="{00000000-0005-0000-0000-0000F8040000}"/>
    <cellStyle name="Percent 7 2" xfId="191" xr:uid="{00000000-0005-0000-0000-0000F9040000}"/>
    <cellStyle name="Percent 7 2 2" xfId="453" xr:uid="{00000000-0005-0000-0000-0000FA040000}"/>
    <cellStyle name="Percent 7 2 2 2" xfId="1097" xr:uid="{00000000-0005-0000-0000-0000FB040000}"/>
    <cellStyle name="Percent 7 2 3" xfId="862" xr:uid="{00000000-0005-0000-0000-0000FC040000}"/>
    <cellStyle name="Percent 7 3" xfId="236" xr:uid="{00000000-0005-0000-0000-0000FD040000}"/>
    <cellStyle name="Percent 7 3 2" xfId="431" xr:uid="{00000000-0005-0000-0000-0000FE040000}"/>
    <cellStyle name="Percent 7 3 2 2" xfId="1075" xr:uid="{00000000-0005-0000-0000-0000FF040000}"/>
    <cellStyle name="Percent 7 3 3" xfId="906" xr:uid="{00000000-0005-0000-0000-000000050000}"/>
    <cellStyle name="Percent 7 4" xfId="340" xr:uid="{00000000-0005-0000-0000-000001050000}"/>
    <cellStyle name="Percent 7 4 2" xfId="994" xr:uid="{00000000-0005-0000-0000-000002050000}"/>
    <cellStyle name="Percent 7 5" xfId="538" xr:uid="{00000000-0005-0000-0000-000003050000}"/>
    <cellStyle name="Percent 7 5 2" xfId="1166" xr:uid="{00000000-0005-0000-0000-000004050000}"/>
    <cellStyle name="Percent 7 6" xfId="607" xr:uid="{00000000-0005-0000-0000-000005050000}"/>
    <cellStyle name="Percent 7 6 2" xfId="1223" xr:uid="{00000000-0005-0000-0000-000006050000}"/>
    <cellStyle name="Percent 7 7" xfId="665" xr:uid="{00000000-0005-0000-0000-000007050000}"/>
    <cellStyle name="Percent 7 8" xfId="859" xr:uid="{00000000-0005-0000-0000-000008050000}"/>
    <cellStyle name="Percent 8" xfId="240" xr:uid="{00000000-0005-0000-0000-000009050000}"/>
    <cellStyle name="Percent 8 2" xfId="252" xr:uid="{00000000-0005-0000-0000-00000A050000}"/>
    <cellStyle name="Percent 8 2 2" xfId="447" xr:uid="{00000000-0005-0000-0000-00000B050000}"/>
    <cellStyle name="Percent 8 2 2 2" xfId="1091" xr:uid="{00000000-0005-0000-0000-00000C050000}"/>
    <cellStyle name="Percent 8 2 3" xfId="352" xr:uid="{00000000-0005-0000-0000-00000D050000}"/>
    <cellStyle name="Percent 8 2 3 2" xfId="1005" xr:uid="{00000000-0005-0000-0000-00000E050000}"/>
    <cellStyle name="Percent 8 2 4" xfId="554" xr:uid="{00000000-0005-0000-0000-00000F050000}"/>
    <cellStyle name="Percent 8 2 4 2" xfId="1182" xr:uid="{00000000-0005-0000-0000-000010050000}"/>
    <cellStyle name="Percent 8 2 5" xfId="623" xr:uid="{00000000-0005-0000-0000-000011050000}"/>
    <cellStyle name="Percent 8 2 5 2" xfId="1239" xr:uid="{00000000-0005-0000-0000-000012050000}"/>
    <cellStyle name="Percent 8 2 6" xfId="681" xr:uid="{00000000-0005-0000-0000-000013050000}"/>
    <cellStyle name="Percent 8 3" xfId="435" xr:uid="{00000000-0005-0000-0000-000014050000}"/>
    <cellStyle name="Percent 8 3 2" xfId="1079" xr:uid="{00000000-0005-0000-0000-000015050000}"/>
    <cellStyle name="Percent 8 4" xfId="345" xr:uid="{00000000-0005-0000-0000-000016050000}"/>
    <cellStyle name="Percent 8 4 2" xfId="999" xr:uid="{00000000-0005-0000-0000-000017050000}"/>
    <cellStyle name="Percent 8 5" xfId="542" xr:uid="{00000000-0005-0000-0000-000018050000}"/>
    <cellStyle name="Percent 8 5 2" xfId="1170" xr:uid="{00000000-0005-0000-0000-000019050000}"/>
    <cellStyle name="Percent 8 6" xfId="611" xr:uid="{00000000-0005-0000-0000-00001A050000}"/>
    <cellStyle name="Percent 8 6 2" xfId="1227" xr:uid="{00000000-0005-0000-0000-00001B050000}"/>
    <cellStyle name="Percent 8 7" xfId="669" xr:uid="{00000000-0005-0000-0000-00001C050000}"/>
    <cellStyle name="Percent 9" xfId="244" xr:uid="{00000000-0005-0000-0000-00001D050000}"/>
    <cellStyle name="Percent 9 2" xfId="439" xr:uid="{00000000-0005-0000-0000-00001E050000}"/>
    <cellStyle name="Percent 9 2 2" xfId="1083" xr:uid="{00000000-0005-0000-0000-00001F050000}"/>
    <cellStyle name="Percent 9 3" xfId="386" xr:uid="{00000000-0005-0000-0000-000020050000}"/>
    <cellStyle name="Percent 9 3 2" xfId="1033" xr:uid="{00000000-0005-0000-0000-000021050000}"/>
    <cellStyle name="Percent 9 4" xfId="546" xr:uid="{00000000-0005-0000-0000-000022050000}"/>
    <cellStyle name="Percent 9 4 2" xfId="1174" xr:uid="{00000000-0005-0000-0000-000023050000}"/>
    <cellStyle name="Percent 9 5" xfId="615" xr:uid="{00000000-0005-0000-0000-000024050000}"/>
    <cellStyle name="Percent 9 5 2" xfId="1231" xr:uid="{00000000-0005-0000-0000-000025050000}"/>
    <cellStyle name="Percent 9 6" xfId="673" xr:uid="{00000000-0005-0000-0000-000026050000}"/>
    <cellStyle name="Porcentaje 2" xfId="745" xr:uid="{00000000-0005-0000-0000-000027050000}"/>
    <cellStyle name="Porcentaje 2 2" xfId="1313" xr:uid="{00000000-0005-0000-0000-000028050000}"/>
    <cellStyle name="Porcentaje 3" xfId="750" xr:uid="{00000000-0005-0000-0000-000029050000}"/>
    <cellStyle name="Porcentaje 3 2" xfId="1314" xr:uid="{00000000-0005-0000-0000-00002A050000}"/>
    <cellStyle name="Porcentaje 4" xfId="756" xr:uid="{00000000-0005-0000-0000-00002B050000}"/>
    <cellStyle name="Porcentaje 5" xfId="769" xr:uid="{00000000-0005-0000-0000-00002C050000}"/>
    <cellStyle name="Porcentaje 6" xfId="1322" xr:uid="{00000000-0005-0000-0000-00002D050000}"/>
    <cellStyle name="Porcentaje 7" xfId="1327" xr:uid="{00000000-0005-0000-0000-00002E050000}"/>
    <cellStyle name="Porcentaje 8" xfId="1332" xr:uid="{00000000-0005-0000-0000-00002F050000}"/>
    <cellStyle name="Porcentaje 9" xfId="43" xr:uid="{00000000-0005-0000-0000-000030050000}"/>
    <cellStyle name="Title 2" xfId="808" xr:uid="{00000000-0005-0000-0000-000034050000}"/>
    <cellStyle name="Título 4" xfId="45" xr:uid="{00000000-0005-0000-0000-000037050000}"/>
    <cellStyle name="Total" xfId="15" builtinId="25" customBuiltin="1"/>
    <cellStyle name="Warning Text" xfId="13" builtinId="11" customBuiltin="1"/>
  </cellStyles>
  <dxfs count="2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tabSelected="1" workbookViewId="0">
      <selection activeCell="C31" sqref="C31"/>
    </sheetView>
  </sheetViews>
  <sheetFormatPr baseColWidth="10" defaultColWidth="11.5" defaultRowHeight="15"/>
  <cols>
    <col min="3" max="3" width="41" bestFit="1" customWidth="1"/>
    <col min="5" max="5" width="13.5" bestFit="1" customWidth="1"/>
  </cols>
  <sheetData>
    <row r="1" spans="1:17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6"/>
      <c r="P1" s="7" t="s">
        <v>18</v>
      </c>
      <c r="Q1" s="7"/>
    </row>
    <row r="2" spans="1:17" ht="32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6</v>
      </c>
      <c r="K2" s="3" t="s">
        <v>9</v>
      </c>
      <c r="L2" s="1" t="s">
        <v>10</v>
      </c>
      <c r="M2" s="3" t="s">
        <v>6</v>
      </c>
      <c r="N2" s="8" t="s">
        <v>19</v>
      </c>
      <c r="O2" s="6"/>
      <c r="P2" s="8" t="s">
        <v>20</v>
      </c>
      <c r="Q2" s="8" t="s">
        <v>21</v>
      </c>
    </row>
    <row r="3" spans="1:17">
      <c r="A3" s="9">
        <v>1</v>
      </c>
      <c r="B3" s="10" t="s">
        <v>12</v>
      </c>
      <c r="C3" s="11">
        <v>275297</v>
      </c>
      <c r="D3" s="12">
        <v>26008310.899999999</v>
      </c>
      <c r="E3" s="13">
        <v>0.25795776924557839</v>
      </c>
      <c r="F3" s="13" t="s">
        <v>11</v>
      </c>
      <c r="G3" s="14" t="s">
        <v>11</v>
      </c>
      <c r="H3" s="13">
        <v>0.24315050770944147</v>
      </c>
      <c r="I3" s="13" t="s">
        <v>11</v>
      </c>
      <c r="J3" s="14" t="s">
        <v>11</v>
      </c>
      <c r="K3" s="15">
        <v>89.050679433922411</v>
      </c>
      <c r="L3" s="15" t="s">
        <v>11</v>
      </c>
      <c r="M3" s="16" t="s">
        <v>11</v>
      </c>
      <c r="N3" s="17">
        <v>0.13189999999999999</v>
      </c>
      <c r="O3" s="6"/>
      <c r="P3" s="17" t="e">
        <f>+#REF!</f>
        <v>#REF!</v>
      </c>
      <c r="Q3" s="17" t="e">
        <f>+#REF!</f>
        <v>#REF!</v>
      </c>
    </row>
    <row r="4" spans="1:17">
      <c r="A4" s="18">
        <v>2</v>
      </c>
      <c r="B4" s="19" t="s">
        <v>22</v>
      </c>
      <c r="C4" s="20">
        <v>119161</v>
      </c>
      <c r="D4" s="21">
        <v>9130529.5</v>
      </c>
      <c r="E4" s="22">
        <v>0.23748541888705196</v>
      </c>
      <c r="F4" s="22">
        <v>0.23229166003552171</v>
      </c>
      <c r="G4" s="23">
        <v>5.1937588515302557E-3</v>
      </c>
      <c r="H4" s="22">
        <v>0.23108451705895042</v>
      </c>
      <c r="I4" s="22">
        <v>0.23522530648228221</v>
      </c>
      <c r="J4" s="23">
        <v>-4.1407894233317921E-3</v>
      </c>
      <c r="K4" s="24">
        <v>74.558252941800063</v>
      </c>
      <c r="L4" s="24">
        <v>76.993614688955873</v>
      </c>
      <c r="M4" s="25">
        <v>-2.4353617471558096</v>
      </c>
      <c r="N4" s="17">
        <v>9.5899999999999999E-2</v>
      </c>
      <c r="O4" s="6"/>
      <c r="P4" s="17" t="e">
        <f t="shared" ref="P4:Q12" si="0">+#REF!</f>
        <v>#REF!</v>
      </c>
      <c r="Q4" s="17" t="e">
        <f t="shared" si="0"/>
        <v>#REF!</v>
      </c>
    </row>
    <row r="5" spans="1:17">
      <c r="A5" s="18">
        <v>3</v>
      </c>
      <c r="B5" s="19" t="s">
        <v>23</v>
      </c>
      <c r="C5" s="20">
        <v>81468</v>
      </c>
      <c r="D5" s="21">
        <v>6354965.9000000004</v>
      </c>
      <c r="E5" s="22">
        <v>0.24630529778563362</v>
      </c>
      <c r="F5" s="22">
        <v>0.23608338226658837</v>
      </c>
      <c r="G5" s="23">
        <v>1.0221915519045249E-2</v>
      </c>
      <c r="H5" s="22">
        <v>0.24288438746775964</v>
      </c>
      <c r="I5" s="22">
        <v>0.23579982138623018</v>
      </c>
      <c r="J5" s="23">
        <v>7.0845660815294642E-3</v>
      </c>
      <c r="K5" s="24">
        <v>76.92225655337387</v>
      </c>
      <c r="L5" s="24">
        <v>76.892840857273143</v>
      </c>
      <c r="M5" s="25">
        <v>2.9415696100727473E-2</v>
      </c>
      <c r="N5" s="17">
        <v>0.11219999999999999</v>
      </c>
      <c r="O5" s="6"/>
      <c r="P5" s="17" t="e">
        <f t="shared" si="0"/>
        <v>#REF!</v>
      </c>
      <c r="Q5" s="17" t="e">
        <f t="shared" si="0"/>
        <v>#REF!</v>
      </c>
    </row>
    <row r="6" spans="1:17">
      <c r="A6" s="18">
        <v>4</v>
      </c>
      <c r="B6" s="19" t="s">
        <v>24</v>
      </c>
      <c r="C6" s="20">
        <v>60453</v>
      </c>
      <c r="D6" s="21">
        <v>4811613.3</v>
      </c>
      <c r="E6" s="22">
        <v>0.29753692951549138</v>
      </c>
      <c r="F6" s="22">
        <v>0.2407321492660125</v>
      </c>
      <c r="G6" s="26">
        <v>5.6804780249478881E-2</v>
      </c>
      <c r="H6" s="22">
        <v>0.29048988620926791</v>
      </c>
      <c r="I6" s="22">
        <v>0.23834970398259894</v>
      </c>
      <c r="J6" s="26">
        <v>5.2140182226668969E-2</v>
      </c>
      <c r="K6" s="24">
        <v>77.707510980152335</v>
      </c>
      <c r="L6" s="24">
        <v>78.521435584160571</v>
      </c>
      <c r="M6" s="27">
        <v>-0.81392460400823552</v>
      </c>
      <c r="N6" s="17">
        <v>0.1076</v>
      </c>
      <c r="O6" s="6"/>
      <c r="P6" s="17" t="e">
        <f t="shared" si="0"/>
        <v>#REF!</v>
      </c>
      <c r="Q6" s="17" t="e">
        <f t="shared" si="0"/>
        <v>#REF!</v>
      </c>
    </row>
    <row r="7" spans="1:17">
      <c r="A7" s="18">
        <v>5</v>
      </c>
      <c r="B7" s="19" t="s">
        <v>25</v>
      </c>
      <c r="C7" s="20">
        <v>19553</v>
      </c>
      <c r="D7" s="21">
        <v>1458642.2</v>
      </c>
      <c r="E7" s="22">
        <v>0.29325423208714774</v>
      </c>
      <c r="F7" s="22">
        <v>0.27203092733996059</v>
      </c>
      <c r="G7" s="23">
        <v>2.1223304747187144E-2</v>
      </c>
      <c r="H7" s="22">
        <v>0.29044134332600552</v>
      </c>
      <c r="I7" s="22">
        <v>0.25774763658097094</v>
      </c>
      <c r="J7" s="23">
        <v>3.2693706745034579E-2</v>
      </c>
      <c r="K7" s="24">
        <v>73.883850715033134</v>
      </c>
      <c r="L7" s="24">
        <v>71.062317945096652</v>
      </c>
      <c r="M7" s="25">
        <v>2.8215327699364821</v>
      </c>
      <c r="N7" s="17">
        <v>8.7999999999999995E-2</v>
      </c>
      <c r="O7" s="6"/>
      <c r="P7" s="17" t="e">
        <f t="shared" si="0"/>
        <v>#REF!</v>
      </c>
      <c r="Q7" s="17" t="e">
        <f t="shared" si="0"/>
        <v>#REF!</v>
      </c>
    </row>
    <row r="8" spans="1:17">
      <c r="A8" s="18">
        <v>6</v>
      </c>
      <c r="B8" s="19" t="s">
        <v>26</v>
      </c>
      <c r="C8" s="20">
        <v>8879</v>
      </c>
      <c r="D8" s="21">
        <v>919593.6</v>
      </c>
      <c r="E8" s="22">
        <v>0.22862935015204414</v>
      </c>
      <c r="F8" s="22">
        <v>0.22610502455610124</v>
      </c>
      <c r="G8" s="23">
        <v>2.5243255959429001E-3</v>
      </c>
      <c r="H8" s="22">
        <v>0.23339331635191893</v>
      </c>
      <c r="I8" s="22">
        <v>0.22106198361663074</v>
      </c>
      <c r="J8" s="23">
        <v>1.2331332735288192E-2</v>
      </c>
      <c r="K8" s="24">
        <v>105.72758620689655</v>
      </c>
      <c r="L8" s="24">
        <v>94.372598162071853</v>
      </c>
      <c r="M8" s="25">
        <v>11.354988044824694</v>
      </c>
      <c r="N8" s="17">
        <v>6.8900000000000003E-2</v>
      </c>
      <c r="O8" s="6"/>
      <c r="P8" s="17" t="e">
        <f t="shared" si="0"/>
        <v>#REF!</v>
      </c>
      <c r="Q8" s="17" t="e">
        <f t="shared" si="0"/>
        <v>#REF!</v>
      </c>
    </row>
    <row r="9" spans="1:17">
      <c r="A9" s="18">
        <v>7</v>
      </c>
      <c r="B9" s="19" t="s">
        <v>27</v>
      </c>
      <c r="C9" s="20">
        <v>5921</v>
      </c>
      <c r="D9" s="21">
        <v>521198.1</v>
      </c>
      <c r="E9" s="22">
        <v>0.30738051004897821</v>
      </c>
      <c r="F9" s="22">
        <v>0.28453060896146731</v>
      </c>
      <c r="G9" s="23">
        <v>2.2849901087510893E-2</v>
      </c>
      <c r="H9" s="22">
        <v>0.29529462981541954</v>
      </c>
      <c r="I9" s="22">
        <v>0.27403556372142301</v>
      </c>
      <c r="J9" s="23">
        <v>2.1259066093996526E-2</v>
      </c>
      <c r="K9" s="24">
        <v>84.564285714285717</v>
      </c>
      <c r="L9" s="24">
        <v>81.519932145886344</v>
      </c>
      <c r="M9" s="25">
        <v>3.044353568399373</v>
      </c>
      <c r="N9" s="17">
        <v>0.1074</v>
      </c>
      <c r="O9" s="6"/>
      <c r="P9" s="17" t="e">
        <f t="shared" si="0"/>
        <v>#REF!</v>
      </c>
      <c r="Q9" s="17" t="e">
        <f t="shared" si="0"/>
        <v>#REF!</v>
      </c>
    </row>
    <row r="10" spans="1:17">
      <c r="A10" s="18">
        <v>8</v>
      </c>
      <c r="B10" s="19" t="s">
        <v>28</v>
      </c>
      <c r="C10" s="20">
        <v>3667</v>
      </c>
      <c r="D10" s="21">
        <v>322577</v>
      </c>
      <c r="E10" s="22">
        <v>0.34333242432506134</v>
      </c>
      <c r="F10" s="22">
        <v>0.29532775453277543</v>
      </c>
      <c r="G10" s="23">
        <v>4.8004669792285903E-2</v>
      </c>
      <c r="H10" s="22">
        <v>0.33414657585630719</v>
      </c>
      <c r="I10" s="22">
        <v>0.3043538337880905</v>
      </c>
      <c r="J10" s="23">
        <v>2.9792742068216693E-2</v>
      </c>
      <c r="K10" s="24">
        <v>85.61397934868944</v>
      </c>
      <c r="L10" s="24">
        <v>88.807556080283348</v>
      </c>
      <c r="M10" s="25">
        <v>-3.1935767315939074</v>
      </c>
      <c r="N10" s="17">
        <v>0.1386</v>
      </c>
      <c r="O10" s="6"/>
      <c r="P10" s="17" t="e">
        <f t="shared" si="0"/>
        <v>#REF!</v>
      </c>
      <c r="Q10" s="17" t="e">
        <f t="shared" si="0"/>
        <v>#REF!</v>
      </c>
    </row>
    <row r="11" spans="1:17">
      <c r="A11" s="18">
        <v>9</v>
      </c>
      <c r="B11" s="19" t="s">
        <v>29</v>
      </c>
      <c r="C11" s="20">
        <v>2510</v>
      </c>
      <c r="D11" s="21">
        <v>201596.6</v>
      </c>
      <c r="E11" s="22">
        <v>0.32629482071713145</v>
      </c>
      <c r="F11" s="22">
        <v>0.35486056226713336</v>
      </c>
      <c r="G11" s="26">
        <v>-2.8565741550001911E-2</v>
      </c>
      <c r="H11" s="22">
        <v>0.31533765946449493</v>
      </c>
      <c r="I11" s="22">
        <v>0.34724110464576929</v>
      </c>
      <c r="J11" s="26">
        <v>-3.1903445181274359E-2</v>
      </c>
      <c r="K11" s="24">
        <v>77.620268620268618</v>
      </c>
      <c r="L11" s="24">
        <v>75.981546293350306</v>
      </c>
      <c r="M11" s="27">
        <v>1.6387223269183124</v>
      </c>
      <c r="N11" s="17">
        <v>7.4499999999999997E-2</v>
      </c>
      <c r="O11" s="6"/>
      <c r="P11" s="17" t="e">
        <f t="shared" si="0"/>
        <v>#REF!</v>
      </c>
      <c r="Q11" s="17" t="e">
        <f t="shared" si="0"/>
        <v>#REF!</v>
      </c>
    </row>
    <row r="12" spans="1:17">
      <c r="A12" s="18">
        <v>10</v>
      </c>
      <c r="B12" s="19" t="s">
        <v>30</v>
      </c>
      <c r="C12" s="20">
        <v>1631</v>
      </c>
      <c r="D12" s="21">
        <v>131369</v>
      </c>
      <c r="E12" s="22">
        <v>0.24586143470263641</v>
      </c>
      <c r="F12" s="22">
        <v>0.30859758090879374</v>
      </c>
      <c r="G12" s="26">
        <v>-6.2736146206157334E-2</v>
      </c>
      <c r="H12" s="22">
        <v>0.21359681507813869</v>
      </c>
      <c r="I12" s="22">
        <v>0.29520473953153398</v>
      </c>
      <c r="J12" s="26">
        <v>-8.1607924453395292E-2</v>
      </c>
      <c r="K12" s="24">
        <v>69.975062344139644</v>
      </c>
      <c r="L12" s="24">
        <v>72.94809322033899</v>
      </c>
      <c r="M12" s="27">
        <v>-2.9730308761993456</v>
      </c>
      <c r="N12" s="17">
        <v>7.3300000000000004E-2</v>
      </c>
      <c r="O12" s="6"/>
      <c r="P12" s="17" t="e">
        <f t="shared" si="0"/>
        <v>#REF!</v>
      </c>
      <c r="Q12" s="17" t="e">
        <f t="shared" si="0"/>
        <v>#REF!</v>
      </c>
    </row>
    <row r="13" spans="1:17">
      <c r="A13" s="28"/>
      <c r="B13" s="29" t="s">
        <v>14</v>
      </c>
      <c r="C13" s="30"/>
      <c r="D13" s="31"/>
      <c r="E13" s="32">
        <v>0</v>
      </c>
      <c r="F13" s="32"/>
      <c r="G13" s="33"/>
      <c r="H13" s="32">
        <v>0</v>
      </c>
      <c r="I13" s="32"/>
      <c r="J13" s="33"/>
      <c r="K13" s="34">
        <f>+IFERROR(D13/C13,0)</f>
        <v>0</v>
      </c>
      <c r="L13" s="34"/>
      <c r="M13" s="35"/>
      <c r="N13" s="32"/>
      <c r="O13" s="6"/>
      <c r="P13" s="32"/>
      <c r="Q13" s="32"/>
    </row>
    <row r="14" spans="1:17" ht="3" customHeight="1">
      <c r="A14" s="36"/>
      <c r="B14" s="37"/>
      <c r="C14" s="38"/>
      <c r="D14" s="39"/>
      <c r="E14" s="40"/>
      <c r="F14" s="40"/>
      <c r="G14" s="41"/>
      <c r="H14" s="40"/>
      <c r="I14" s="40"/>
      <c r="J14" s="41"/>
      <c r="K14" s="42"/>
      <c r="L14" s="42"/>
      <c r="M14" s="43"/>
      <c r="N14" s="44"/>
      <c r="O14" s="6"/>
      <c r="P14" s="44"/>
      <c r="Q14" s="44"/>
    </row>
    <row r="15" spans="1:17">
      <c r="A15" s="1"/>
      <c r="B15" s="2" t="s">
        <v>13</v>
      </c>
      <c r="C15" s="45">
        <v>589811.66999999993</v>
      </c>
      <c r="D15" s="46">
        <v>50661176.364999995</v>
      </c>
      <c r="E15" s="47">
        <v>0.25368097582741966</v>
      </c>
      <c r="F15" s="47">
        <v>0.24273395902316994</v>
      </c>
      <c r="G15" s="48">
        <v>1.0947016804249726E-2</v>
      </c>
      <c r="H15" s="47">
        <v>0.24446007551763255</v>
      </c>
      <c r="I15" s="47">
        <v>0.24135265824962174</v>
      </c>
      <c r="J15" s="48">
        <v>3.1074172680108092E-3</v>
      </c>
      <c r="K15" s="49">
        <v>82.771714430839978</v>
      </c>
      <c r="L15" s="49">
        <v>77.556965376063246</v>
      </c>
      <c r="M15" s="50">
        <v>5.2147490547767319</v>
      </c>
      <c r="N15" s="51">
        <v>0.1133</v>
      </c>
      <c r="O15" s="6"/>
      <c r="P15" s="51" t="e">
        <f>+#REF!</f>
        <v>#REF!</v>
      </c>
      <c r="Q15" s="51" t="e">
        <f>+#REF!</f>
        <v>#REF!</v>
      </c>
    </row>
    <row r="16" spans="1:17" ht="3" customHeight="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52"/>
      <c r="O16" s="53"/>
      <c r="P16" s="53"/>
      <c r="Q16" s="53"/>
    </row>
    <row r="17" spans="1:17">
      <c r="A17" s="54"/>
      <c r="B17" s="55">
        <v>2025</v>
      </c>
      <c r="C17" s="56">
        <v>467675.09615384613</v>
      </c>
      <c r="D17" s="57">
        <v>35298385.945429988</v>
      </c>
      <c r="E17" s="58">
        <v>0.25655027189528562</v>
      </c>
      <c r="F17" s="58"/>
      <c r="G17" s="59"/>
      <c r="H17" s="58">
        <v>0.23133410456808196</v>
      </c>
      <c r="I17" s="58"/>
      <c r="J17" s="59"/>
      <c r="K17" s="60">
        <v>68.057781385151287</v>
      </c>
      <c r="L17" s="60"/>
      <c r="M17" s="61"/>
      <c r="N17" s="51"/>
      <c r="O17" s="6"/>
      <c r="P17" s="51"/>
      <c r="Q17" s="51"/>
    </row>
    <row r="18" spans="1:17" ht="3" customHeight="1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3"/>
      <c r="O18" s="63"/>
      <c r="P18" s="63"/>
      <c r="Q18" s="63"/>
    </row>
    <row r="19" spans="1:17">
      <c r="A19" s="54"/>
      <c r="B19" s="64" t="s">
        <v>15</v>
      </c>
      <c r="C19" s="65">
        <f>+C15/C17-1</f>
        <v>0.26115689043655177</v>
      </c>
      <c r="D19" s="66">
        <f>+D15/D17-1</f>
        <v>0.43522642772732767</v>
      </c>
      <c r="E19" s="66">
        <f>+E15-E17</f>
        <v>-2.8692960678659563E-3</v>
      </c>
      <c r="F19" s="58"/>
      <c r="G19" s="59"/>
      <c r="H19" s="66">
        <f>+H15-H17</f>
        <v>1.3125970949550592E-2</v>
      </c>
      <c r="I19" s="58"/>
      <c r="J19" s="59"/>
      <c r="K19" s="67">
        <f>+K15-K17</f>
        <v>14.713933045688691</v>
      </c>
      <c r="L19" s="60"/>
      <c r="M19" s="61"/>
      <c r="N19" s="51"/>
      <c r="O19" s="6"/>
      <c r="P19" s="51"/>
      <c r="Q19" s="51"/>
    </row>
    <row r="20" spans="1:17" ht="3" customHeight="1">
      <c r="A20" s="52"/>
      <c r="B20" s="68"/>
      <c r="C20" s="69"/>
      <c r="D20" s="70"/>
      <c r="E20" s="71"/>
      <c r="F20" s="71"/>
      <c r="G20" s="72"/>
      <c r="H20" s="71"/>
      <c r="I20" s="71"/>
      <c r="J20" s="72"/>
      <c r="K20" s="73"/>
      <c r="L20" s="73"/>
      <c r="M20" s="74"/>
      <c r="N20" s="71"/>
      <c r="O20" s="52"/>
      <c r="P20" s="75"/>
      <c r="Q20" s="75"/>
    </row>
    <row r="21" spans="1:17">
      <c r="A21" s="54"/>
      <c r="B21" s="55" t="s">
        <v>16</v>
      </c>
      <c r="C21" s="56">
        <v>443168.03448275861</v>
      </c>
      <c r="D21" s="57">
        <v>35546986.372068577</v>
      </c>
      <c r="E21" s="58">
        <v>0.25850683398443169</v>
      </c>
      <c r="F21" s="58"/>
      <c r="G21" s="59"/>
      <c r="H21" s="58">
        <v>0.24600195973901218</v>
      </c>
      <c r="I21" s="58"/>
      <c r="J21" s="59"/>
      <c r="K21" s="60">
        <v>76.330990576700401</v>
      </c>
      <c r="L21" s="60"/>
      <c r="M21" s="61"/>
      <c r="N21" s="51"/>
      <c r="O21" s="6"/>
      <c r="P21" s="51"/>
      <c r="Q21" s="51"/>
    </row>
    <row r="22" spans="1:17" ht="3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3"/>
      <c r="O22" s="63"/>
      <c r="P22" s="63"/>
      <c r="Q22" s="63"/>
    </row>
    <row r="23" spans="1:17">
      <c r="A23" s="54"/>
      <c r="B23" s="64" t="s">
        <v>17</v>
      </c>
      <c r="C23" s="65">
        <f>+C15/C21-1</f>
        <v>0.33089849471746247</v>
      </c>
      <c r="D23" s="66">
        <f>+D15/D21-1</f>
        <v>0.42518906763943165</v>
      </c>
      <c r="E23" s="66">
        <f>+E15-E21</f>
        <v>-4.8258581570120307E-3</v>
      </c>
      <c r="F23" s="58"/>
      <c r="G23" s="59"/>
      <c r="H23" s="66">
        <f>+H15-H21</f>
        <v>-1.5418842213796302E-3</v>
      </c>
      <c r="I23" s="58"/>
      <c r="J23" s="59"/>
      <c r="K23" s="67">
        <f>+K15-K21</f>
        <v>6.440723854139577</v>
      </c>
      <c r="L23" s="60"/>
      <c r="M23" s="61"/>
      <c r="N23" s="51"/>
      <c r="O23" s="6"/>
      <c r="P23" s="51"/>
      <c r="Q23" s="51"/>
    </row>
    <row r="32" spans="1:17" ht="9" customHeight="1"/>
  </sheetData>
  <mergeCells count="1">
    <mergeCell ref="P1:Q1"/>
  </mergeCells>
  <conditionalFormatting sqref="G3:G12 J3:J12 M3:M12">
    <cfRule type="cellIs" dxfId="23" priority="22" operator="lessThan">
      <formula>0</formula>
    </cfRule>
  </conditionalFormatting>
  <conditionalFormatting sqref="N3:N12">
    <cfRule type="cellIs" dxfId="22" priority="24" operator="lessThan">
      <formula>0</formula>
    </cfRule>
  </conditionalFormatting>
  <conditionalFormatting sqref="P3:Q12">
    <cfRule type="cellIs" dxfId="21" priority="23" operator="lessThan">
      <formula>0</formula>
    </cfRule>
  </conditionalFormatting>
  <conditionalFormatting sqref="C19:E19">
    <cfRule type="cellIs" dxfId="20" priority="18" operator="lessThan">
      <formula>0</formula>
    </cfRule>
  </conditionalFormatting>
  <conditionalFormatting sqref="C23:E23">
    <cfRule type="cellIs" dxfId="19" priority="10" operator="lessThan">
      <formula>0</formula>
    </cfRule>
  </conditionalFormatting>
  <conditionalFormatting sqref="G13:G15 J13:J15 M13:M15">
    <cfRule type="cellIs" dxfId="18" priority="19" operator="lessThan">
      <formula>0</formula>
    </cfRule>
  </conditionalFormatting>
  <conditionalFormatting sqref="G17">
    <cfRule type="cellIs" dxfId="17" priority="3" operator="lessThan">
      <formula>0</formula>
    </cfRule>
  </conditionalFormatting>
  <conditionalFormatting sqref="G20:G21">
    <cfRule type="cellIs" dxfId="16" priority="12" operator="lessThan">
      <formula>0</formula>
    </cfRule>
  </conditionalFormatting>
  <conditionalFormatting sqref="G19:H19">
    <cfRule type="cellIs" dxfId="15" priority="17" operator="lessThan">
      <formula>0</formula>
    </cfRule>
  </conditionalFormatting>
  <conditionalFormatting sqref="G23:H23">
    <cfRule type="cellIs" dxfId="14" priority="9" operator="lessThan">
      <formula>0</formula>
    </cfRule>
  </conditionalFormatting>
  <conditionalFormatting sqref="J17">
    <cfRule type="cellIs" dxfId="13" priority="2" operator="lessThan">
      <formula>0</formula>
    </cfRule>
  </conditionalFormatting>
  <conditionalFormatting sqref="J20:J21">
    <cfRule type="cellIs" dxfId="12" priority="11" operator="lessThan">
      <formula>0</formula>
    </cfRule>
  </conditionalFormatting>
  <conditionalFormatting sqref="J19:K19">
    <cfRule type="cellIs" dxfId="11" priority="16" operator="lessThan">
      <formula>0</formula>
    </cfRule>
  </conditionalFormatting>
  <conditionalFormatting sqref="J23:K23">
    <cfRule type="cellIs" dxfId="10" priority="8" operator="lessThan">
      <formula>0</formula>
    </cfRule>
  </conditionalFormatting>
  <conditionalFormatting sqref="M20">
    <cfRule type="cellIs" dxfId="9" priority="13" operator="lessThan">
      <formula>0</formula>
    </cfRule>
  </conditionalFormatting>
  <conditionalFormatting sqref="M17:N17">
    <cfRule type="cellIs" dxfId="8" priority="1" operator="lessThan">
      <formula>0</formula>
    </cfRule>
  </conditionalFormatting>
  <conditionalFormatting sqref="M19:N19">
    <cfRule type="cellIs" dxfId="7" priority="14" operator="lessThan">
      <formula>0</formula>
    </cfRule>
  </conditionalFormatting>
  <conditionalFormatting sqref="M21:N21">
    <cfRule type="cellIs" dxfId="6" priority="5" operator="lessThan">
      <formula>0</formula>
    </cfRule>
  </conditionalFormatting>
  <conditionalFormatting sqref="M23:N23">
    <cfRule type="cellIs" dxfId="5" priority="4" operator="lessThan">
      <formula>0</formula>
    </cfRule>
  </conditionalFormatting>
  <conditionalFormatting sqref="N14:N15">
    <cfRule type="cellIs" dxfId="4" priority="21" operator="lessThan">
      <formula>0</formula>
    </cfRule>
  </conditionalFormatting>
  <conditionalFormatting sqref="P14:Q15">
    <cfRule type="cellIs" dxfId="3" priority="20" operator="lessThan">
      <formula>0</formula>
    </cfRule>
  </conditionalFormatting>
  <conditionalFormatting sqref="P17:Q17">
    <cfRule type="cellIs" dxfId="2" priority="15" operator="lessThan">
      <formula>0</formula>
    </cfRule>
  </conditionalFormatting>
  <conditionalFormatting sqref="P19:Q21">
    <cfRule type="cellIs" dxfId="1" priority="7" operator="lessThan">
      <formula>0</formula>
    </cfRule>
  </conditionalFormatting>
  <conditionalFormatting sqref="P23:Q23">
    <cfRule type="cellIs" dxfId="0" priority="6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Becario 33</dc:creator>
  <cp:keywords/>
  <dc:description/>
  <cp:lastModifiedBy>José Alberto Rocha Munguía</cp:lastModifiedBy>
  <cp:revision/>
  <dcterms:created xsi:type="dcterms:W3CDTF">2026-09-15T15:34:20Z</dcterms:created>
  <dcterms:modified xsi:type="dcterms:W3CDTF">2026-09-15T16:26:52Z</dcterms:modified>
  <cp:category/>
  <cp:contentStatus/>
</cp:coreProperties>
</file>